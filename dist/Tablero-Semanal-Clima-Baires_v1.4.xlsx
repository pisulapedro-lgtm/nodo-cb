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Carga semanal" sheetId="2" state="visible" r:id="rId2"/>
    <sheet name="Evolu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$&quot; #,##0"/>
    <numFmt numFmtId="166" formatCode="0 %"/>
  </numFmts>
  <fonts count="6">
    <font>
      <name val="Calibri"/>
      <family val="2"/>
      <color theme="1"/>
      <sz val="11"/>
      <scheme val="minor"/>
    </font>
    <font>
      <name val="Calibri"/>
      <b val="1"/>
      <color rgb="0000285A"/>
      <sz val="16"/>
    </font>
    <font>
      <name val="Calibri"/>
      <color rgb="005A6675"/>
      <sz val="9"/>
    </font>
    <font>
      <name val="Calibri"/>
      <b val="1"/>
      <color rgb="0000285A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85A"/>
      </patternFill>
    </fill>
    <fill>
      <patternFill patternType="solid">
        <fgColor rgb="00FFF3CD"/>
      </patternFill>
    </fill>
    <fill>
      <patternFill patternType="solid">
        <fgColor rgb="00D8E6F5"/>
      </patternFill>
    </fill>
  </fills>
  <borders count="2">
    <border>
      <left/>
      <right/>
      <top/>
      <bottom/>
      <diagonal/>
    </border>
    <border>
      <left style="thin">
        <color rgb="00DFE7F0"/>
      </left>
      <right style="thin">
        <color rgb="00DFE7F0"/>
      </right>
      <top style="thin">
        <color rgb="00DFE7F0"/>
      </top>
      <bottom style="thin">
        <color rgb="00DFE7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4" fillId="3" borderId="1" pivotButton="0" quotePrefix="0" xfId="0"/>
    <xf numFmtId="3" fontId="4" fillId="3" borderId="1" pivotButton="0" quotePrefix="0" xfId="0"/>
    <xf numFmtId="165" fontId="4" fillId="3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3" fillId="4" borderId="1" pivotButton="0" quotePrefix="0" xfId="0"/>
    <xf numFmtId="3" fontId="3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0" fontId="3" fillId="0" borderId="1" pivotButton="0" quotePrefix="0" xfId="0"/>
    <xf numFmtId="0" fontId="4" fillId="0" borderId="1" pivotButton="0" quotePrefix="0" xfId="0"/>
    <xf numFmtId="165" fontId="3" fillId="0" borderId="1" pivotButton="0" quotePrefix="0" xfId="0"/>
    <xf numFmtId="166" fontId="3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Leads, presupuestos e instalaciones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'Carga semanal'!B4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'Carga semanal'!$A$5:$A$30</f>
            </numRef>
          </cat>
          <val>
            <numRef>
              <f>'Carga semanal'!$B$5:$B$30</f>
            </numRef>
          </val>
        </ser>
        <ser>
          <idx val="1"/>
          <order val="1"/>
          <tx>
            <strRef>
              <f>'Carga semanal'!C4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'Carga semanal'!$A$5:$A$30</f>
            </numRef>
          </cat>
          <val>
            <numRef>
              <f>'Carga semanal'!$C$5:$C$30</f>
            </numRef>
          </val>
        </ser>
        <ser>
          <idx val="2"/>
          <order val="2"/>
          <tx>
            <strRef>
              <f>'Carga semanal'!D4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'Carga semanal'!$A$5:$A$30</f>
            </numRef>
          </cat>
          <val>
            <numRef>
              <f>'Carga semanal'!$D$5:$D$30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Costo por lead y costo por instalación</a:t>
            </a:r>
          </a:p>
        </rich>
      </tx>
    </title>
    <plotArea>
      <lineChart>
        <grouping val="standard"/>
        <ser>
          <idx val="0"/>
          <order val="0"/>
          <tx>
            <strRef>
              <f>'Carga semanal'!H4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'Carga semanal'!$A$5:$A$30</f>
            </numRef>
          </cat>
          <val>
            <numRef>
              <f>'Carga semanal'!$H$5:$H$30</f>
            </numRef>
          </val>
        </ser>
        <ser>
          <idx val="1"/>
          <order val="1"/>
          <tx>
            <strRef>
              <f>'Carga semanal'!I4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'Carga semanal'!$A$5:$A$30</f>
            </numRef>
          </cat>
          <val>
            <numRef>
              <f>'Carga semanal'!$I$5:$I$30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23</row>
      <rowOff>0</rowOff>
    </from>
    <ext cx="86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Tablero semanal — Clima Baires Argentina</t>
        </is>
      </c>
    </row>
    <row r="2">
      <c r="A2" s="2" t="inlineStr"/>
    </row>
    <row r="3">
      <c r="A3" s="3" t="inlineStr">
        <is>
          <t>Versión 1.4 · acompaña al «Plan de Negocio» · se llena los lunes, en 20 minutos</t>
        </is>
      </c>
    </row>
    <row r="4">
      <c r="A4" s="2" t="inlineStr"/>
    </row>
    <row r="5">
      <c r="A5" s="4" t="inlineStr">
        <is>
          <t>Cómo se usa</t>
        </is>
      </c>
    </row>
    <row r="6">
      <c r="A6" s="5" t="inlineStr">
        <is>
          <t>Cada lunes, en la hoja «Carga semanal», completá las seis columnas amarillas de la semana que terminó.</t>
        </is>
      </c>
    </row>
    <row r="7">
      <c r="A7" s="5" t="inlineStr">
        <is>
          <t>Todo lo demás se calcula solo, y las celdas se pintan de verde, amarillo o rojo según el objetivo.</t>
        </is>
      </c>
    </row>
    <row r="8">
      <c r="A8" s="2" t="inlineStr"/>
    </row>
    <row r="9">
      <c r="A9" s="4" t="inlineStr">
        <is>
          <t>Los seis números</t>
        </is>
      </c>
    </row>
    <row r="10">
      <c r="A10" s="5" t="inlineStr">
        <is>
          <t>1. Leads: cuántas personas escribieron o llamaron pidiendo presupuesto.</t>
        </is>
      </c>
    </row>
    <row r="11">
      <c r="A11" s="5" t="inlineStr">
        <is>
          <t>2. Presupuestos enviados: de esos leads, a cuántos les mandaste un presupuesto.</t>
        </is>
      </c>
    </row>
    <row r="12">
      <c r="A12" s="5" t="inlineStr">
        <is>
          <t>3. Instalaciones cerradas: cuántos aceptaron y señaron.</t>
        </is>
      </c>
    </row>
    <row r="13">
      <c r="A13" s="5" t="inlineStr">
        <is>
          <t>4. Facturación: lo facturado en la semana, con IVA.</t>
        </is>
      </c>
    </row>
    <row r="14">
      <c r="A14" s="5" t="inlineStr">
        <is>
          <t>5. Gasto de pauta: lo gastado en Google y Meta esa semana.</t>
        </is>
      </c>
    </row>
    <row r="15">
      <c r="A15" s="5" t="inlineStr">
        <is>
          <t>6. Reseñas nuevas: cuántas reseñas de Google entraron.</t>
        </is>
      </c>
    </row>
    <row r="16">
      <c r="A16" s="2" t="inlineStr"/>
    </row>
    <row r="17">
      <c r="A17" s="4" t="inlineStr">
        <is>
          <t>Los objetivos salen del plan, no de acá</t>
        </is>
      </c>
    </row>
    <row r="18">
      <c r="A18" s="5" t="inlineStr">
        <is>
          <t>CPL objetivo $ 7.405 · alarma en $ 9.627</t>
        </is>
      </c>
    </row>
    <row r="19">
      <c r="A19" s="5" t="inlineStr">
        <is>
          <t>CAC objetivo $ 36.309 · techo tolerable $ 40.000</t>
        </is>
      </c>
    </row>
    <row r="20">
      <c r="A20" s="5" t="inlineStr">
        <is>
          <t>Lead → presupuesto ≥ 60 % · Presupuesto → instalación ≥ 40 % (sección 21.7 del plan)</t>
        </is>
      </c>
    </row>
    <row r="21">
      <c r="A21" s="3" t="inlineStr">
        <is>
          <t>Los calculan build/marketing.mjs y el modelo financiero: si cambian ahí, cambian acá.</t>
        </is>
      </c>
    </row>
    <row r="22">
      <c r="A22" s="2" t="inlineStr"/>
    </row>
    <row r="23">
      <c r="A23" s="4" t="inlineStr">
        <is>
          <t>Qué hacer cuando algo se pone rojo</t>
        </is>
      </c>
    </row>
    <row r="24">
      <c r="A24" s="5" t="inlineStr">
        <is>
          <t>CPL alto dos semanas seguidas → se corta el canal más caro, no se sube el presupuesto.</t>
        </is>
      </c>
    </row>
    <row r="25">
      <c r="A25" s="5" t="inlineStr">
        <is>
          <t>Lead → presupuesto bajo → el problema es la velocidad de respuesta, no el precio.</t>
        </is>
      </c>
    </row>
    <row r="26">
      <c r="A26" s="5" t="inlineStr">
        <is>
          <t>Presupuesto → instalación bajo → revisar el guion de venta de la sección 21 antes de tocar el precio.</t>
        </is>
      </c>
    </row>
    <row r="27">
      <c r="A27" s="5" t="inlineStr">
        <is>
          <t>Presupuesto → instalación por encima del 70 % → el precio está bajo.</t>
        </is>
      </c>
    </row>
    <row r="28">
      <c r="A28" s="2" t="inlineStr"/>
    </row>
    <row r="29">
      <c r="A29" s="4" t="inlineStr">
        <is>
          <t>El primer lunes de cada mes</t>
        </is>
      </c>
    </row>
    <row r="30">
      <c r="A30" s="5" t="inlineStr">
        <is>
          <t>Además de cargar la semana, se miran los disparadores del plan B (sección 11.2).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2" customWidth="1" min="4" max="4"/>
    <col width="15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4" customWidth="1" min="11" max="11"/>
    <col width="15" customWidth="1" min="12" max="12"/>
  </cols>
  <sheetData>
    <row r="1">
      <c r="A1" s="1" t="inlineStr">
        <is>
          <t>Carga semanal — completar solo las columnas amarillas</t>
        </is>
      </c>
    </row>
    <row r="2">
      <c r="A2" s="6" t="inlineStr">
        <is>
          <t>Cada lunes, los números de la semana que terminó. El resto son fórmulas.</t>
        </is>
      </c>
    </row>
    <row r="4">
      <c r="A4" s="7" t="inlineStr">
        <is>
          <t>Semana (lunes)</t>
        </is>
      </c>
      <c r="B4" s="7" t="inlineStr">
        <is>
          <t>Leads</t>
        </is>
      </c>
      <c r="C4" s="7" t="inlineStr">
        <is>
          <t>Presupuestos
enviados</t>
        </is>
      </c>
      <c r="D4" s="7" t="inlineStr">
        <is>
          <t>Instalaciones
cerradas</t>
        </is>
      </c>
      <c r="E4" s="7" t="inlineStr">
        <is>
          <t>Facturación</t>
        </is>
      </c>
      <c r="F4" s="7" t="inlineStr">
        <is>
          <t>Gasto de
pauta</t>
        </is>
      </c>
      <c r="G4" s="7" t="inlineStr">
        <is>
          <t>Reseñas
nuevas</t>
        </is>
      </c>
      <c r="H4" s="7" t="inlineStr">
        <is>
          <t>CPL</t>
        </is>
      </c>
      <c r="I4" s="7" t="inlineStr">
        <is>
          <t>CAC</t>
        </is>
      </c>
      <c r="J4" s="7" t="inlineStr">
        <is>
          <t>Lead →
presupuesto</t>
        </is>
      </c>
      <c r="K4" s="7" t="inlineStr">
        <is>
          <t>Presupuesto →
instalación</t>
        </is>
      </c>
      <c r="L4" s="7" t="inlineStr">
        <is>
          <t>Ticket medio</t>
        </is>
      </c>
    </row>
    <row r="5">
      <c r="A5" s="8" t="n"/>
      <c r="B5" s="9" t="n"/>
      <c r="C5" s="9" t="n"/>
      <c r="D5" s="9" t="n"/>
      <c r="E5" s="10" t="n"/>
      <c r="F5" s="10" t="n"/>
      <c r="G5" s="9" t="n"/>
      <c r="H5" s="11">
        <f>IFERROR(F5/B5,"")</f>
        <v/>
      </c>
      <c r="I5" s="11">
        <f>IFERROR(F5/D5,"")</f>
        <v/>
      </c>
      <c r="J5" s="12">
        <f>IFERROR(C5/B5,"")</f>
        <v/>
      </c>
      <c r="K5" s="12">
        <f>IFERROR(D5/C5,"")</f>
        <v/>
      </c>
      <c r="L5" s="11">
        <f>IFERROR(E5/D5,"")</f>
        <v/>
      </c>
    </row>
    <row r="6">
      <c r="A6" s="8" t="n"/>
      <c r="B6" s="9" t="n"/>
      <c r="C6" s="9" t="n"/>
      <c r="D6" s="9" t="n"/>
      <c r="E6" s="10" t="n"/>
      <c r="F6" s="10" t="n"/>
      <c r="G6" s="9" t="n"/>
      <c r="H6" s="11">
        <f>IFERROR(F6/B6,"")</f>
        <v/>
      </c>
      <c r="I6" s="11">
        <f>IFERROR(F6/D6,"")</f>
        <v/>
      </c>
      <c r="J6" s="12">
        <f>IFERROR(C6/B6,"")</f>
        <v/>
      </c>
      <c r="K6" s="12">
        <f>IFERROR(D6/C6,"")</f>
        <v/>
      </c>
      <c r="L6" s="11">
        <f>IFERROR(E6/D6,"")</f>
        <v/>
      </c>
    </row>
    <row r="7">
      <c r="A7" s="8" t="n"/>
      <c r="B7" s="9" t="n"/>
      <c r="C7" s="9" t="n"/>
      <c r="D7" s="9" t="n"/>
      <c r="E7" s="10" t="n"/>
      <c r="F7" s="10" t="n"/>
      <c r="G7" s="9" t="n"/>
      <c r="H7" s="11">
        <f>IFERROR(F7/B7,"")</f>
        <v/>
      </c>
      <c r="I7" s="11">
        <f>IFERROR(F7/D7,"")</f>
        <v/>
      </c>
      <c r="J7" s="12">
        <f>IFERROR(C7/B7,"")</f>
        <v/>
      </c>
      <c r="K7" s="12">
        <f>IFERROR(D7/C7,"")</f>
        <v/>
      </c>
      <c r="L7" s="11">
        <f>IFERROR(E7/D7,"")</f>
        <v/>
      </c>
    </row>
    <row r="8">
      <c r="A8" s="8" t="n"/>
      <c r="B8" s="9" t="n"/>
      <c r="C8" s="9" t="n"/>
      <c r="D8" s="9" t="n"/>
      <c r="E8" s="10" t="n"/>
      <c r="F8" s="10" t="n"/>
      <c r="G8" s="9" t="n"/>
      <c r="H8" s="11">
        <f>IFERROR(F8/B8,"")</f>
        <v/>
      </c>
      <c r="I8" s="11">
        <f>IFERROR(F8/D8,"")</f>
        <v/>
      </c>
      <c r="J8" s="12">
        <f>IFERROR(C8/B8,"")</f>
        <v/>
      </c>
      <c r="K8" s="12">
        <f>IFERROR(D8/C8,"")</f>
        <v/>
      </c>
      <c r="L8" s="11">
        <f>IFERROR(E8/D8,"")</f>
        <v/>
      </c>
    </row>
    <row r="9">
      <c r="A9" s="8" t="n"/>
      <c r="B9" s="9" t="n"/>
      <c r="C9" s="9" t="n"/>
      <c r="D9" s="9" t="n"/>
      <c r="E9" s="10" t="n"/>
      <c r="F9" s="10" t="n"/>
      <c r="G9" s="9" t="n"/>
      <c r="H9" s="11">
        <f>IFERROR(F9/B9,"")</f>
        <v/>
      </c>
      <c r="I9" s="11">
        <f>IFERROR(F9/D9,"")</f>
        <v/>
      </c>
      <c r="J9" s="12">
        <f>IFERROR(C9/B9,"")</f>
        <v/>
      </c>
      <c r="K9" s="12">
        <f>IFERROR(D9/C9,"")</f>
        <v/>
      </c>
      <c r="L9" s="11">
        <f>IFERROR(E9/D9,"")</f>
        <v/>
      </c>
    </row>
    <row r="10">
      <c r="A10" s="8" t="n"/>
      <c r="B10" s="9" t="n"/>
      <c r="C10" s="9" t="n"/>
      <c r="D10" s="9" t="n"/>
      <c r="E10" s="10" t="n"/>
      <c r="F10" s="10" t="n"/>
      <c r="G10" s="9" t="n"/>
      <c r="H10" s="11">
        <f>IFERROR(F10/B10,"")</f>
        <v/>
      </c>
      <c r="I10" s="11">
        <f>IFERROR(F10/D10,"")</f>
        <v/>
      </c>
      <c r="J10" s="12">
        <f>IFERROR(C10/B10,"")</f>
        <v/>
      </c>
      <c r="K10" s="12">
        <f>IFERROR(D10/C10,"")</f>
        <v/>
      </c>
      <c r="L10" s="11">
        <f>IFERROR(E10/D10,"")</f>
        <v/>
      </c>
    </row>
    <row r="11">
      <c r="A11" s="8" t="n"/>
      <c r="B11" s="9" t="n"/>
      <c r="C11" s="9" t="n"/>
      <c r="D11" s="9" t="n"/>
      <c r="E11" s="10" t="n"/>
      <c r="F11" s="10" t="n"/>
      <c r="G11" s="9" t="n"/>
      <c r="H11" s="11">
        <f>IFERROR(F11/B11,"")</f>
        <v/>
      </c>
      <c r="I11" s="11">
        <f>IFERROR(F11/D11,"")</f>
        <v/>
      </c>
      <c r="J11" s="12">
        <f>IFERROR(C11/B11,"")</f>
        <v/>
      </c>
      <c r="K11" s="12">
        <f>IFERROR(D11/C11,"")</f>
        <v/>
      </c>
      <c r="L11" s="11">
        <f>IFERROR(E11/D11,"")</f>
        <v/>
      </c>
    </row>
    <row r="12">
      <c r="A12" s="8" t="n"/>
      <c r="B12" s="9" t="n"/>
      <c r="C12" s="9" t="n"/>
      <c r="D12" s="9" t="n"/>
      <c r="E12" s="10" t="n"/>
      <c r="F12" s="10" t="n"/>
      <c r="G12" s="9" t="n"/>
      <c r="H12" s="11">
        <f>IFERROR(F12/B12,"")</f>
        <v/>
      </c>
      <c r="I12" s="11">
        <f>IFERROR(F12/D12,"")</f>
        <v/>
      </c>
      <c r="J12" s="12">
        <f>IFERROR(C12/B12,"")</f>
        <v/>
      </c>
      <c r="K12" s="12">
        <f>IFERROR(D12/C12,"")</f>
        <v/>
      </c>
      <c r="L12" s="11">
        <f>IFERROR(E12/D12,"")</f>
        <v/>
      </c>
    </row>
    <row r="13">
      <c r="A13" s="8" t="n"/>
      <c r="B13" s="9" t="n"/>
      <c r="C13" s="9" t="n"/>
      <c r="D13" s="9" t="n"/>
      <c r="E13" s="10" t="n"/>
      <c r="F13" s="10" t="n"/>
      <c r="G13" s="9" t="n"/>
      <c r="H13" s="11">
        <f>IFERROR(F13/B13,"")</f>
        <v/>
      </c>
      <c r="I13" s="11">
        <f>IFERROR(F13/D13,"")</f>
        <v/>
      </c>
      <c r="J13" s="12">
        <f>IFERROR(C13/B13,"")</f>
        <v/>
      </c>
      <c r="K13" s="12">
        <f>IFERROR(D13/C13,"")</f>
        <v/>
      </c>
      <c r="L13" s="11">
        <f>IFERROR(E13/D13,"")</f>
        <v/>
      </c>
    </row>
    <row r="14">
      <c r="A14" s="8" t="n"/>
      <c r="B14" s="9" t="n"/>
      <c r="C14" s="9" t="n"/>
      <c r="D14" s="9" t="n"/>
      <c r="E14" s="10" t="n"/>
      <c r="F14" s="10" t="n"/>
      <c r="G14" s="9" t="n"/>
      <c r="H14" s="11">
        <f>IFERROR(F14/B14,"")</f>
        <v/>
      </c>
      <c r="I14" s="11">
        <f>IFERROR(F14/D14,"")</f>
        <v/>
      </c>
      <c r="J14" s="12">
        <f>IFERROR(C14/B14,"")</f>
        <v/>
      </c>
      <c r="K14" s="12">
        <f>IFERROR(D14/C14,"")</f>
        <v/>
      </c>
      <c r="L14" s="11">
        <f>IFERROR(E14/D14,"")</f>
        <v/>
      </c>
    </row>
    <row r="15">
      <c r="A15" s="8" t="n"/>
      <c r="B15" s="9" t="n"/>
      <c r="C15" s="9" t="n"/>
      <c r="D15" s="9" t="n"/>
      <c r="E15" s="10" t="n"/>
      <c r="F15" s="10" t="n"/>
      <c r="G15" s="9" t="n"/>
      <c r="H15" s="11">
        <f>IFERROR(F15/B15,"")</f>
        <v/>
      </c>
      <c r="I15" s="11">
        <f>IFERROR(F15/D15,"")</f>
        <v/>
      </c>
      <c r="J15" s="12">
        <f>IFERROR(C15/B15,"")</f>
        <v/>
      </c>
      <c r="K15" s="12">
        <f>IFERROR(D15/C15,"")</f>
        <v/>
      </c>
      <c r="L15" s="11">
        <f>IFERROR(E15/D15,"")</f>
        <v/>
      </c>
    </row>
    <row r="16">
      <c r="A16" s="8" t="n"/>
      <c r="B16" s="9" t="n"/>
      <c r="C16" s="9" t="n"/>
      <c r="D16" s="9" t="n"/>
      <c r="E16" s="10" t="n"/>
      <c r="F16" s="10" t="n"/>
      <c r="G16" s="9" t="n"/>
      <c r="H16" s="11">
        <f>IFERROR(F16/B16,"")</f>
        <v/>
      </c>
      <c r="I16" s="11">
        <f>IFERROR(F16/D16,"")</f>
        <v/>
      </c>
      <c r="J16" s="12">
        <f>IFERROR(C16/B16,"")</f>
        <v/>
      </c>
      <c r="K16" s="12">
        <f>IFERROR(D16/C16,"")</f>
        <v/>
      </c>
      <c r="L16" s="11">
        <f>IFERROR(E16/D16,"")</f>
        <v/>
      </c>
    </row>
    <row r="17">
      <c r="A17" s="8" t="n"/>
      <c r="B17" s="9" t="n"/>
      <c r="C17" s="9" t="n"/>
      <c r="D17" s="9" t="n"/>
      <c r="E17" s="10" t="n"/>
      <c r="F17" s="10" t="n"/>
      <c r="G17" s="9" t="n"/>
      <c r="H17" s="11">
        <f>IFERROR(F17/B17,"")</f>
        <v/>
      </c>
      <c r="I17" s="11">
        <f>IFERROR(F17/D17,"")</f>
        <v/>
      </c>
      <c r="J17" s="12">
        <f>IFERROR(C17/B17,"")</f>
        <v/>
      </c>
      <c r="K17" s="12">
        <f>IFERROR(D17/C17,"")</f>
        <v/>
      </c>
      <c r="L17" s="11">
        <f>IFERROR(E17/D17,"")</f>
        <v/>
      </c>
    </row>
    <row r="18">
      <c r="A18" s="8" t="n"/>
      <c r="B18" s="9" t="n"/>
      <c r="C18" s="9" t="n"/>
      <c r="D18" s="9" t="n"/>
      <c r="E18" s="10" t="n"/>
      <c r="F18" s="10" t="n"/>
      <c r="G18" s="9" t="n"/>
      <c r="H18" s="11">
        <f>IFERROR(F18/B18,"")</f>
        <v/>
      </c>
      <c r="I18" s="11">
        <f>IFERROR(F18/D18,"")</f>
        <v/>
      </c>
      <c r="J18" s="12">
        <f>IFERROR(C18/B18,"")</f>
        <v/>
      </c>
      <c r="K18" s="12">
        <f>IFERROR(D18/C18,"")</f>
        <v/>
      </c>
      <c r="L18" s="11">
        <f>IFERROR(E18/D18,"")</f>
        <v/>
      </c>
    </row>
    <row r="19">
      <c r="A19" s="8" t="n"/>
      <c r="B19" s="9" t="n"/>
      <c r="C19" s="9" t="n"/>
      <c r="D19" s="9" t="n"/>
      <c r="E19" s="10" t="n"/>
      <c r="F19" s="10" t="n"/>
      <c r="G19" s="9" t="n"/>
      <c r="H19" s="11">
        <f>IFERROR(F19/B19,"")</f>
        <v/>
      </c>
      <c r="I19" s="11">
        <f>IFERROR(F19/D19,"")</f>
        <v/>
      </c>
      <c r="J19" s="12">
        <f>IFERROR(C19/B19,"")</f>
        <v/>
      </c>
      <c r="K19" s="12">
        <f>IFERROR(D19/C19,"")</f>
        <v/>
      </c>
      <c r="L19" s="11">
        <f>IFERROR(E19/D19,"")</f>
        <v/>
      </c>
    </row>
    <row r="20">
      <c r="A20" s="8" t="n"/>
      <c r="B20" s="9" t="n"/>
      <c r="C20" s="9" t="n"/>
      <c r="D20" s="9" t="n"/>
      <c r="E20" s="10" t="n"/>
      <c r="F20" s="10" t="n"/>
      <c r="G20" s="9" t="n"/>
      <c r="H20" s="11">
        <f>IFERROR(F20/B20,"")</f>
        <v/>
      </c>
      <c r="I20" s="11">
        <f>IFERROR(F20/D20,"")</f>
        <v/>
      </c>
      <c r="J20" s="12">
        <f>IFERROR(C20/B20,"")</f>
        <v/>
      </c>
      <c r="K20" s="12">
        <f>IFERROR(D20/C20,"")</f>
        <v/>
      </c>
      <c r="L20" s="11">
        <f>IFERROR(E20/D20,"")</f>
        <v/>
      </c>
    </row>
    <row r="21">
      <c r="A21" s="8" t="n"/>
      <c r="B21" s="9" t="n"/>
      <c r="C21" s="9" t="n"/>
      <c r="D21" s="9" t="n"/>
      <c r="E21" s="10" t="n"/>
      <c r="F21" s="10" t="n"/>
      <c r="G21" s="9" t="n"/>
      <c r="H21" s="11">
        <f>IFERROR(F21/B21,"")</f>
        <v/>
      </c>
      <c r="I21" s="11">
        <f>IFERROR(F21/D21,"")</f>
        <v/>
      </c>
      <c r="J21" s="12">
        <f>IFERROR(C21/B21,"")</f>
        <v/>
      </c>
      <c r="K21" s="12">
        <f>IFERROR(D21/C21,"")</f>
        <v/>
      </c>
      <c r="L21" s="11">
        <f>IFERROR(E21/D21,"")</f>
        <v/>
      </c>
    </row>
    <row r="22">
      <c r="A22" s="8" t="n"/>
      <c r="B22" s="9" t="n"/>
      <c r="C22" s="9" t="n"/>
      <c r="D22" s="9" t="n"/>
      <c r="E22" s="10" t="n"/>
      <c r="F22" s="10" t="n"/>
      <c r="G22" s="9" t="n"/>
      <c r="H22" s="11">
        <f>IFERROR(F22/B22,"")</f>
        <v/>
      </c>
      <c r="I22" s="11">
        <f>IFERROR(F22/D22,"")</f>
        <v/>
      </c>
      <c r="J22" s="12">
        <f>IFERROR(C22/B22,"")</f>
        <v/>
      </c>
      <c r="K22" s="12">
        <f>IFERROR(D22/C22,"")</f>
        <v/>
      </c>
      <c r="L22" s="11">
        <f>IFERROR(E22/D22,"")</f>
        <v/>
      </c>
    </row>
    <row r="23">
      <c r="A23" s="8" t="n"/>
      <c r="B23" s="9" t="n"/>
      <c r="C23" s="9" t="n"/>
      <c r="D23" s="9" t="n"/>
      <c r="E23" s="10" t="n"/>
      <c r="F23" s="10" t="n"/>
      <c r="G23" s="9" t="n"/>
      <c r="H23" s="11">
        <f>IFERROR(F23/B23,"")</f>
        <v/>
      </c>
      <c r="I23" s="11">
        <f>IFERROR(F23/D23,"")</f>
        <v/>
      </c>
      <c r="J23" s="12">
        <f>IFERROR(C23/B23,"")</f>
        <v/>
      </c>
      <c r="K23" s="12">
        <f>IFERROR(D23/C23,"")</f>
        <v/>
      </c>
      <c r="L23" s="11">
        <f>IFERROR(E23/D23,"")</f>
        <v/>
      </c>
    </row>
    <row r="24">
      <c r="A24" s="8" t="n"/>
      <c r="B24" s="9" t="n"/>
      <c r="C24" s="9" t="n"/>
      <c r="D24" s="9" t="n"/>
      <c r="E24" s="10" t="n"/>
      <c r="F24" s="10" t="n"/>
      <c r="G24" s="9" t="n"/>
      <c r="H24" s="11">
        <f>IFERROR(F24/B24,"")</f>
        <v/>
      </c>
      <c r="I24" s="11">
        <f>IFERROR(F24/D24,"")</f>
        <v/>
      </c>
      <c r="J24" s="12">
        <f>IFERROR(C24/B24,"")</f>
        <v/>
      </c>
      <c r="K24" s="12">
        <f>IFERROR(D24/C24,"")</f>
        <v/>
      </c>
      <c r="L24" s="11">
        <f>IFERROR(E24/D24,"")</f>
        <v/>
      </c>
    </row>
    <row r="25">
      <c r="A25" s="8" t="n"/>
      <c r="B25" s="9" t="n"/>
      <c r="C25" s="9" t="n"/>
      <c r="D25" s="9" t="n"/>
      <c r="E25" s="10" t="n"/>
      <c r="F25" s="10" t="n"/>
      <c r="G25" s="9" t="n"/>
      <c r="H25" s="11">
        <f>IFERROR(F25/B25,"")</f>
        <v/>
      </c>
      <c r="I25" s="11">
        <f>IFERROR(F25/D25,"")</f>
        <v/>
      </c>
      <c r="J25" s="12">
        <f>IFERROR(C25/B25,"")</f>
        <v/>
      </c>
      <c r="K25" s="12">
        <f>IFERROR(D25/C25,"")</f>
        <v/>
      </c>
      <c r="L25" s="11">
        <f>IFERROR(E25/D25,"")</f>
        <v/>
      </c>
    </row>
    <row r="26">
      <c r="A26" s="8" t="n"/>
      <c r="B26" s="9" t="n"/>
      <c r="C26" s="9" t="n"/>
      <c r="D26" s="9" t="n"/>
      <c r="E26" s="10" t="n"/>
      <c r="F26" s="10" t="n"/>
      <c r="G26" s="9" t="n"/>
      <c r="H26" s="11">
        <f>IFERROR(F26/B26,"")</f>
        <v/>
      </c>
      <c r="I26" s="11">
        <f>IFERROR(F26/D26,"")</f>
        <v/>
      </c>
      <c r="J26" s="12">
        <f>IFERROR(C26/B26,"")</f>
        <v/>
      </c>
      <c r="K26" s="12">
        <f>IFERROR(D26/C26,"")</f>
        <v/>
      </c>
      <c r="L26" s="11">
        <f>IFERROR(E26/D26,"")</f>
        <v/>
      </c>
    </row>
    <row r="27">
      <c r="A27" s="8" t="n"/>
      <c r="B27" s="9" t="n"/>
      <c r="C27" s="9" t="n"/>
      <c r="D27" s="9" t="n"/>
      <c r="E27" s="10" t="n"/>
      <c r="F27" s="10" t="n"/>
      <c r="G27" s="9" t="n"/>
      <c r="H27" s="11">
        <f>IFERROR(F27/B27,"")</f>
        <v/>
      </c>
      <c r="I27" s="11">
        <f>IFERROR(F27/D27,"")</f>
        <v/>
      </c>
      <c r="J27" s="12">
        <f>IFERROR(C27/B27,"")</f>
        <v/>
      </c>
      <c r="K27" s="12">
        <f>IFERROR(D27/C27,"")</f>
        <v/>
      </c>
      <c r="L27" s="11">
        <f>IFERROR(E27/D27,"")</f>
        <v/>
      </c>
    </row>
    <row r="28">
      <c r="A28" s="8" t="n"/>
      <c r="B28" s="9" t="n"/>
      <c r="C28" s="9" t="n"/>
      <c r="D28" s="9" t="n"/>
      <c r="E28" s="10" t="n"/>
      <c r="F28" s="10" t="n"/>
      <c r="G28" s="9" t="n"/>
      <c r="H28" s="11">
        <f>IFERROR(F28/B28,"")</f>
        <v/>
      </c>
      <c r="I28" s="11">
        <f>IFERROR(F28/D28,"")</f>
        <v/>
      </c>
      <c r="J28" s="12">
        <f>IFERROR(C28/B28,"")</f>
        <v/>
      </c>
      <c r="K28" s="12">
        <f>IFERROR(D28/C28,"")</f>
        <v/>
      </c>
      <c r="L28" s="11">
        <f>IFERROR(E28/D28,"")</f>
        <v/>
      </c>
    </row>
    <row r="29">
      <c r="A29" s="8" t="n"/>
      <c r="B29" s="9" t="n"/>
      <c r="C29" s="9" t="n"/>
      <c r="D29" s="9" t="n"/>
      <c r="E29" s="10" t="n"/>
      <c r="F29" s="10" t="n"/>
      <c r="G29" s="9" t="n"/>
      <c r="H29" s="11">
        <f>IFERROR(F29/B29,"")</f>
        <v/>
      </c>
      <c r="I29" s="11">
        <f>IFERROR(F29/D29,"")</f>
        <v/>
      </c>
      <c r="J29" s="12">
        <f>IFERROR(C29/B29,"")</f>
        <v/>
      </c>
      <c r="K29" s="12">
        <f>IFERROR(D29/C29,"")</f>
        <v/>
      </c>
      <c r="L29" s="11">
        <f>IFERROR(E29/D29,"")</f>
        <v/>
      </c>
    </row>
    <row r="30">
      <c r="A30" s="8" t="n"/>
      <c r="B30" s="9" t="n"/>
      <c r="C30" s="9" t="n"/>
      <c r="D30" s="9" t="n"/>
      <c r="E30" s="10" t="n"/>
      <c r="F30" s="10" t="n"/>
      <c r="G30" s="9" t="n"/>
      <c r="H30" s="11">
        <f>IFERROR(F30/B30,"")</f>
        <v/>
      </c>
      <c r="I30" s="11">
        <f>IFERROR(F30/D30,"")</f>
        <v/>
      </c>
      <c r="J30" s="12">
        <f>IFERROR(C30/B30,"")</f>
        <v/>
      </c>
      <c r="K30" s="12">
        <f>IFERROR(D30/C30,"")</f>
        <v/>
      </c>
      <c r="L30" s="11">
        <f>IFERROR(E30/D30,"")</f>
        <v/>
      </c>
    </row>
    <row r="31">
      <c r="A31" s="13" t="inlineStr">
        <is>
          <t>TOTAL</t>
        </is>
      </c>
      <c r="B31" s="14">
        <f>SUM(B5:B30)</f>
        <v/>
      </c>
      <c r="C31" s="14">
        <f>SUM(C5:C30)</f>
        <v/>
      </c>
      <c r="D31" s="14">
        <f>SUM(D5:D30)</f>
        <v/>
      </c>
      <c r="E31" s="15">
        <f>SUM(E5:E30)</f>
        <v/>
      </c>
      <c r="F31" s="15">
        <f>SUM(F5:F30)</f>
        <v/>
      </c>
      <c r="G31" s="14">
        <f>SUM(G5:G30)</f>
        <v/>
      </c>
      <c r="H31" s="15">
        <f>IFERROR(F31/B31,"")</f>
        <v/>
      </c>
      <c r="I31" s="15">
        <f>IFERROR(F31/D31,"")</f>
        <v/>
      </c>
      <c r="J31" s="16">
        <f>IFERROR(C31/B31,"")</f>
        <v/>
      </c>
      <c r="K31" s="16">
        <f>IFERROR(D31/C31,"")</f>
        <v/>
      </c>
      <c r="L31" s="15">
        <f>IFERROR(E31/D31,"")</f>
        <v/>
      </c>
    </row>
    <row r="33">
      <c r="A33" s="17" t="inlineStr">
        <is>
          <t>Objetivos (del plan, no editar)</t>
        </is>
      </c>
    </row>
    <row r="34">
      <c r="A34" s="18" t="inlineStr">
        <is>
          <t>CPL objetivo</t>
        </is>
      </c>
      <c r="B34" s="19" t="n">
        <v>7405.09537489779</v>
      </c>
    </row>
    <row r="35">
      <c r="A35" s="18" t="inlineStr">
        <is>
          <t>CPL alarma</t>
        </is>
      </c>
      <c r="B35" s="19" t="n">
        <v>9626.623987367127</v>
      </c>
    </row>
    <row r="36">
      <c r="A36" s="18" t="inlineStr">
        <is>
          <t>CAC objetivo</t>
        </is>
      </c>
      <c r="B36" s="19" t="n">
        <v>36309.14836790568</v>
      </c>
    </row>
    <row r="37">
      <c r="A37" s="18" t="inlineStr">
        <is>
          <t>CAC techo</t>
        </is>
      </c>
      <c r="B37" s="19" t="n">
        <v>40000</v>
      </c>
    </row>
    <row r="38">
      <c r="A38" s="18" t="inlineStr">
        <is>
          <t>Lead → presupuesto</t>
        </is>
      </c>
      <c r="B38" s="20" t="n">
        <v>0.6</v>
      </c>
    </row>
    <row r="39">
      <c r="A39" s="18" t="inlineStr">
        <is>
          <t>Presupuesto → instalación</t>
        </is>
      </c>
      <c r="B39" s="20" t="n">
        <v>0.4</v>
      </c>
    </row>
  </sheetData>
  <conditionalFormatting sqref="H5:H30">
    <cfRule type="cellIs" priority="1" operator="greaterThan" dxfId="0">
      <formula>9627</formula>
    </cfRule>
    <cfRule type="cellIs" priority="2" operator="greaterThan" dxfId="1">
      <formula>7405</formula>
    </cfRule>
    <cfRule type="cellIs" priority="3" operator="lessThanOrEqual" dxfId="2">
      <formula>7405</formula>
    </cfRule>
  </conditionalFormatting>
  <conditionalFormatting sqref="I5:I30">
    <cfRule type="cellIs" priority="4" operator="greaterThan" dxfId="0">
      <formula>40000</formula>
    </cfRule>
    <cfRule type="cellIs" priority="5" operator="greaterThan" dxfId="1">
      <formula>36309</formula>
    </cfRule>
    <cfRule type="cellIs" priority="6" operator="lessThanOrEqual" dxfId="2">
      <formula>36309</formula>
    </cfRule>
  </conditionalFormatting>
  <conditionalFormatting sqref="J5:J30">
    <cfRule type="cellIs" priority="7" operator="lessThan" dxfId="0">
      <formula>0.45</formula>
    </cfRule>
    <cfRule type="cellIs" priority="8" operator="lessThan" dxfId="1">
      <formula>0.6</formula>
    </cfRule>
    <cfRule type="cellIs" priority="9" operator="greaterThanOrEqual" dxfId="2">
      <formula>0.6</formula>
    </cfRule>
  </conditionalFormatting>
  <conditionalFormatting sqref="K5:K30">
    <cfRule type="cellIs" priority="10" operator="lessThan" dxfId="0">
      <formula>0.3</formula>
    </cfRule>
    <cfRule type="cellIs" priority="11" operator="lessThan" dxfId="1">
      <formula>0.4</formula>
    </cfRule>
    <cfRule type="cellIs" priority="12" operator="greaterThanOrEqual" dxfId="2">
      <formula>0.4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Evolución — se dibuja sola a medida que se carga</t>
        </is>
      </c>
    </row>
    <row r="2">
      <c r="A2" s="6" t="inlineStr">
        <is>
          <t>Si una curva no aparece es porque esa columna todavía está vacía.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2026-08-02T09:19:06Z</dcterms:created>
  <dcterms:modified xsi:type="dcterms:W3CDTF">2026-08-02T09:19:06Z</dcterms:modified>
</cp:coreProperties>
</file>