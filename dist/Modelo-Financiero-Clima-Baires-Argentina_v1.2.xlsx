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Supuestos" sheetId="2" state="visible" r:id="rId2"/>
    <sheet name="Unit economics" sheetId="3" state="visible" r:id="rId3"/>
    <sheet name="P&amp;L 24 meses" sheetId="4" state="visible" r:id="rId4"/>
    <sheet name="Flujo de caja" sheetId="5" state="visible" r:id="rId5"/>
    <sheet name="Break-even" sheetId="6" state="visible" r:id="rId6"/>
    <sheet name="Escenarios" sheetId="7" state="visible" r:id="rId7"/>
    <sheet name="Dashboard" sheetId="8" state="visible" r:id="rId8"/>
    <sheet name="Verificació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 #,##0"/>
    <numFmt numFmtId="165" formatCode="0.0%"/>
    <numFmt numFmtId="166" formatCode="#,##0.0"/>
    <numFmt numFmtId="167" formatCode="&quot;€&quot; #,##0"/>
  </numFmts>
  <fonts count="6">
    <font>
      <name val="Calibri"/>
      <family val="2"/>
      <color theme="1"/>
      <sz val="11"/>
      <scheme val="minor"/>
    </font>
    <font>
      <name val="Calibri"/>
      <b val="1"/>
      <color rgb="0000285A"/>
      <sz val="16"/>
    </font>
    <font>
      <name val="Calibri"/>
      <color rgb="005A6675"/>
      <sz val="9"/>
    </font>
    <font>
      <name val="Calibri"/>
      <b val="1"/>
      <color rgb="0000285A"/>
      <sz val="10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8E6F5"/>
      </patternFill>
    </fill>
    <fill>
      <patternFill patternType="solid">
        <fgColor rgb="0000285A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DFE7F0"/>
      </left>
      <right style="thin">
        <color rgb="00DFE7F0"/>
      </right>
      <top style="thin">
        <color rgb="00DFE7F0"/>
      </top>
      <bottom style="thin">
        <color rgb="00DFE7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0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/>
    </xf>
    <xf numFmtId="0" fontId="4" fillId="0" borderId="1" pivotButton="0" quotePrefix="0" xfId="0"/>
    <xf numFmtId="164" fontId="4" fillId="2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165" fontId="4" fillId="2" borderId="1" pivotButton="0" quotePrefix="0" xfId="0"/>
    <xf numFmtId="165" fontId="3" fillId="3" borderId="1" pivotButton="0" quotePrefix="0" xfId="0"/>
    <xf numFmtId="165" fontId="3" fillId="0" borderId="1" pivotButton="0" quotePrefix="0" xfId="0"/>
    <xf numFmtId="166" fontId="4" fillId="2" borderId="1" pivotButton="0" quotePrefix="0" xfId="0"/>
    <xf numFmtId="164" fontId="3" fillId="0" borderId="1" pivotButton="0" quotePrefix="0" xfId="0"/>
    <xf numFmtId="167" fontId="3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4" fontId="3" fillId="3" borderId="1" pivotButton="0" quotePrefix="0" xfId="0"/>
    <xf numFmtId="166" fontId="3" fillId="0" borderId="1" pivotButton="0" quotePrefix="0" xfId="0"/>
    <xf numFmtId="166" fontId="3" fillId="3" borderId="1" pivotButton="0" quotePrefix="0" xfId="0"/>
    <xf numFmtId="166" fontId="4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Saldo de caja (ARS)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'Dashboard'!$A$20:$A$43</f>
            </numRef>
          </cat>
          <val>
            <numRef>
              <f>'Dashboard'!$B$20:$B$43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 operativo mensual (ARS)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'Dashboard'!C19</f>
            </strRef>
          </tx>
          <spPr>
            <a:ln>
              <a:prstDash val="solid"/>
            </a:ln>
          </spPr>
          <cat>
            <numRef>
              <f>'Dashboard'!$A$20:$A$43</f>
            </numRef>
          </cat>
          <val>
            <numRef>
              <f>'Dashboard'!$C$20:$C$43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financiero — Clima Baires Argentina</t>
        </is>
      </c>
    </row>
    <row r="2">
      <c r="A2" s="2" t="inlineStr"/>
    </row>
    <row r="3">
      <c r="A3" s="3" t="inlineStr">
        <is>
          <t>Versión 1.2 · acompaña al «Plan de Acción 30 Días» · TC de referencia 1.760 ARS/EUR (euro billete vendedor. Banco de la Nación Argentina. 31-07-2026)</t>
        </is>
      </c>
    </row>
    <row r="4">
      <c r="A4" s="2" t="inlineStr"/>
    </row>
    <row r="5">
      <c r="A5" s="4" t="inlineStr">
        <is>
          <t>Cómo se usa</t>
        </is>
      </c>
    </row>
    <row r="6">
      <c r="A6" s="5" t="inlineStr">
        <is>
          <t>Solo se edita la hoja «Supuestos»: las celdas en amarillo. Todo lo demás son fórmulas que recalculan solas.</t>
        </is>
      </c>
    </row>
    <row r="7">
      <c r="A7" s="5" t="inlineStr">
        <is>
          <t>El resto de las hojas no se toca — si se pisa una fórmula con un número, el modelo deja de ser un modelo.</t>
        </is>
      </c>
    </row>
    <row r="8">
      <c r="A8" s="2" t="inlineStr"/>
    </row>
    <row r="9">
      <c r="A9" s="4" t="inlineStr">
        <is>
          <t>Convención monetaria</t>
        </is>
      </c>
    </row>
    <row r="10">
      <c r="A10" s="5" t="inlineStr">
        <is>
          <t>ARS constantes de agosto-2026. En Argentina los precios de venta y de compra se indexan juntos, de modo que el margen porcentual se sostiene; trabajar en nominales solo añadiría ruido inflacionario. Conversión a EUR al TC de portada.</t>
        </is>
      </c>
    </row>
    <row r="11">
      <c r="A11" s="5" t="inlineStr">
        <is>
          <t>En Argentina los precios de compra y de venta se indexan casi en paralelo, así que el margen porcentual se</t>
        </is>
      </c>
    </row>
    <row r="12">
      <c r="A12" s="5" t="inlineStr">
        <is>
          <t>sostiene y los valores nominales solo agregarían ruido. La conversión a euros es informativa para los socios.</t>
        </is>
      </c>
    </row>
    <row r="13">
      <c r="A13" s="2" t="inlineStr"/>
    </row>
    <row r="14">
      <c r="A14" s="4" t="inlineStr">
        <is>
          <t>Qué NO hay que creerse</t>
        </is>
      </c>
    </row>
    <row r="15">
      <c r="A15" s="5" t="inlineStr">
        <is>
          <t>La curva de obras/mes es el supuesto más frágil del modelo: es un pronóstico, no un dato verificable.</t>
        </is>
      </c>
    </row>
    <row r="16">
      <c r="A16" s="5" t="inlineStr">
        <is>
          <t>Todo lo demás (márgenes, costos, alícuotas) está anclado en precios de mercado citados en el PDF.</t>
        </is>
      </c>
    </row>
    <row r="17">
      <c r="A17" s="5" t="inlineStr">
        <is>
          <t>Las cifras derivadas son proyecciones sobre supuestos editables, no compromisos.</t>
        </is>
      </c>
    </row>
    <row r="18">
      <c r="A18" s="2" t="inlineStr"/>
    </row>
    <row r="19">
      <c r="A19" s="4" t="inlineStr">
        <is>
          <t>Hojas del libro</t>
        </is>
      </c>
    </row>
    <row r="20">
      <c r="A20" s="5" t="inlineStr">
        <is>
          <t>Supuestos — lo único editable. Mix de producto, costos, estructura, marketing y obras mes a mes.</t>
        </is>
      </c>
    </row>
    <row r="21">
      <c r="A21" s="5" t="inlineStr">
        <is>
          <t>Unit economics — qué deja cada obra, por categoría y en promedio ponderado.</t>
        </is>
      </c>
    </row>
    <row r="22">
      <c r="A22" s="5" t="inlineStr">
        <is>
          <t>P&amp;L 24 meses — estado de resultados mensual y anual.</t>
        </is>
      </c>
    </row>
    <row r="23">
      <c r="A23" s="5" t="inlineStr">
        <is>
          <t>Flujo de caja — cobros, pagos y saldo mes a mes, con la seña y el descalce del saldo.</t>
        </is>
      </c>
    </row>
    <row r="24">
      <c r="A24" s="5" t="inlineStr">
        <is>
          <t>Break-even — obras/mes necesarias según qué estructura haya que cubrir.</t>
        </is>
      </c>
    </row>
    <row r="25">
      <c r="A25" s="5" t="inlineStr">
        <is>
          <t>Escenarios — conservador / base / optimista, con el selector de la celda Supuestos!B4.</t>
        </is>
      </c>
    </row>
    <row r="26">
      <c r="A26" s="5" t="inlineStr">
        <is>
          <t>Dashboard — las seis cifras que miran los socios, y la curva de caja.</t>
        </is>
      </c>
    </row>
    <row r="27">
      <c r="A27" s="5" t="inlineStr">
        <is>
          <t>Verificación — control cruzado contra el motor de cálculo del PDF.</t>
        </is>
      </c>
    </row>
    <row r="28">
      <c r="A28" s="2" t="inlineStr"/>
    </row>
    <row r="29">
      <c r="A29" s="4" t="inlineStr">
        <is>
          <t>Cómo se regenera</t>
        </is>
      </c>
    </row>
    <row r="30">
      <c r="A30" s="5" t="inlineStr">
        <is>
          <t>npm run modelo — reconstruye esta planilla desde src/datos.json.</t>
        </is>
      </c>
    </row>
    <row r="31">
      <c r="A31" s="5" t="inlineStr">
        <is>
          <t>npm run build — reconstruye el PDF con las mismas cifras. Los dos leen build/financiero.mjs.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0" workbookViewId="0">
      <pane xSplit="1" ySplit="15" topLeftCell="B16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Supuestos — editar solo las celdas en amarillo</t>
        </is>
      </c>
    </row>
    <row r="2">
      <c r="A2" s="6" t="inlineStr">
        <is>
          <t>Cambiá un valor amarillo y todo el libro recalcula. El resto de las hojas son fórmulas.</t>
        </is>
      </c>
    </row>
    <row r="4">
      <c r="A4" s="7" t="inlineStr">
        <is>
          <t>Escenario activo</t>
        </is>
      </c>
      <c r="B4" s="8" t="inlineStr">
        <is>
          <t>Base</t>
        </is>
      </c>
      <c r="G4" s="9" t="inlineStr">
        <is>
          <t>Elegir de la lista: cambia obras y ticket de todo el modelo.</t>
        </is>
      </c>
    </row>
    <row r="5">
      <c r="A5" s="7" t="inlineStr">
        <is>
          <t>Tipo de cambio (ARS por EUR)</t>
        </is>
      </c>
      <c r="B5" s="10" t="n">
        <v>1760</v>
      </c>
      <c r="G5" s="9" t="inlineStr">
        <is>
          <t>Solo afecta a la lectura en euros; la operación es en pesos.</t>
        </is>
      </c>
    </row>
    <row r="7">
      <c r="A7" s="11" t="inlineStr">
        <is>
          <t>Multiplicadores de escenario</t>
        </is>
      </c>
      <c r="B7" s="12" t="n"/>
      <c r="C7" s="12" t="n"/>
      <c r="D7" s="12" t="n"/>
      <c r="E7" s="12" t="n"/>
      <c r="F7" s="12" t="n"/>
      <c r="G7" s="12" t="n"/>
    </row>
    <row r="8">
      <c r="A8" s="13" t="inlineStr">
        <is>
          <t>Escenario</t>
        </is>
      </c>
      <c r="B8" s="13" t="inlineStr">
        <is>
          <t>Obras ×</t>
        </is>
      </c>
      <c r="C8" s="13" t="inlineStr">
        <is>
          <t>Ticket ×</t>
        </is>
      </c>
      <c r="D8" s="13" t="inlineStr"/>
      <c r="E8" s="13" t="inlineStr"/>
      <c r="F8" s="13" t="inlineStr"/>
      <c r="G8" s="13" t="inlineStr">
        <is>
          <t>Nota</t>
        </is>
      </c>
    </row>
    <row r="9">
      <c r="A9" s="9" t="inlineStr">
        <is>
          <t>Conservador</t>
        </is>
      </c>
      <c r="B9" s="14" t="n">
        <v>0.65</v>
      </c>
      <c r="C9" s="14" t="n">
        <v>0.9</v>
      </c>
      <c r="G9" s="9" t="inlineStr"/>
    </row>
    <row r="10">
      <c r="A10" s="9" t="inlineStr">
        <is>
          <t>Base</t>
        </is>
      </c>
      <c r="B10" s="14" t="n">
        <v>1</v>
      </c>
      <c r="C10" s="14" t="n">
        <v>1</v>
      </c>
      <c r="G10" s="9" t="inlineStr"/>
    </row>
    <row r="11">
      <c r="A11" s="9" t="inlineStr">
        <is>
          <t>Optimista</t>
        </is>
      </c>
      <c r="B11" s="14" t="n">
        <v>1.3</v>
      </c>
      <c r="C11" s="14" t="n">
        <v>1.05</v>
      </c>
      <c r="G11" s="9" t="inlineStr"/>
    </row>
    <row r="12">
      <c r="A12" s="11" t="inlineStr">
        <is>
          <t>ACTIVO</t>
        </is>
      </c>
      <c r="B12" s="15">
        <f>INDEX(B9:B11,MATCH($B$4,$A$9:$A$11,0))</f>
        <v/>
      </c>
      <c r="C12" s="15">
        <f>INDEX(C9:C11,MATCH($B$4,$A$9:$A$11,0))</f>
        <v/>
      </c>
      <c r="G12" s="11" t="inlineStr">
        <is>
          <t>Lo que usa el resto del libro.</t>
        </is>
      </c>
    </row>
    <row r="14">
      <c r="A14" s="11" t="inlineStr">
        <is>
          <t>Mix de producto y economía de la obra</t>
        </is>
      </c>
      <c r="B14" s="12" t="n"/>
      <c r="C14" s="12" t="n"/>
      <c r="D14" s="12" t="n"/>
      <c r="E14" s="12" t="n"/>
      <c r="F14" s="12" t="n"/>
      <c r="G14" s="12" t="n"/>
    </row>
    <row r="15">
      <c r="A15" s="13" t="inlineStr">
        <is>
          <t>Categoría</t>
        </is>
      </c>
      <c r="B15" s="13" t="inlineStr">
        <is>
          <t>Peso en el mix</t>
        </is>
      </c>
      <c r="C15" s="13" t="inlineStr">
        <is>
          <t>Ticket (ARS)</t>
        </is>
      </c>
      <c r="D15" s="13" t="inlineStr">
        <is>
          <t>Equipo (% del ticket)</t>
        </is>
      </c>
      <c r="E15" s="13" t="inlineStr">
        <is>
          <t>Instalación (ARS)</t>
        </is>
      </c>
      <c r="F15" s="13" t="inlineStr">
        <is>
          <t>Materiales (ARS)</t>
        </is>
      </c>
      <c r="G15" s="13" t="inlineStr">
        <is>
          <t>Fuente</t>
        </is>
      </c>
    </row>
    <row r="16">
      <c r="A16" s="9" t="inlineStr">
        <is>
          <t>Split premium 3.000-4.500 frig</t>
        </is>
      </c>
      <c r="B16" s="14" t="n">
        <v>0.45</v>
      </c>
      <c r="C16" s="10" t="n">
        <v>1800000</v>
      </c>
      <c r="D16" s="14" t="n">
        <v>0.58</v>
      </c>
      <c r="E16" s="10" t="n">
        <v>150000</v>
      </c>
      <c r="F16" s="10" t="n">
        <v>110000</v>
      </c>
      <c r="G16" s="9" t="inlineStr">
        <is>
          <t>F37</t>
        </is>
      </c>
    </row>
    <row r="17">
      <c r="A17" s="9" t="inlineStr">
        <is>
          <t>Split 5.500-6.500 frig / multisplit 2x1</t>
        </is>
      </c>
      <c r="B17" s="14" t="n">
        <v>0.35</v>
      </c>
      <c r="C17" s="10" t="n">
        <v>2800000</v>
      </c>
      <c r="D17" s="14" t="n">
        <v>0.57</v>
      </c>
      <c r="E17" s="10" t="n">
        <v>190000</v>
      </c>
      <c r="F17" s="10" t="n">
        <v>145000</v>
      </c>
      <c r="G17" s="9" t="inlineStr">
        <is>
          <t>F37</t>
        </is>
      </c>
    </row>
    <row r="18">
      <c r="A18" s="9" t="inlineStr">
        <is>
          <t>Piso-techo, cassette o conductos</t>
        </is>
      </c>
      <c r="B18" s="14" t="n">
        <v>0.15</v>
      </c>
      <c r="C18" s="10" t="n">
        <v>5000000</v>
      </c>
      <c r="D18" s="14" t="n">
        <v>0.6</v>
      </c>
      <c r="E18" s="10" t="n">
        <v>450000</v>
      </c>
      <c r="F18" s="10" t="n">
        <v>300000</v>
      </c>
      <c r="G18" s="9" t="inlineStr">
        <is>
          <t>F37</t>
        </is>
      </c>
    </row>
    <row r="19">
      <c r="A19" s="9" t="inlineStr">
        <is>
          <t>Mantenimiento y service</t>
        </is>
      </c>
      <c r="B19" s="14" t="n">
        <v>0.05</v>
      </c>
      <c r="C19" s="10" t="n">
        <v>250000</v>
      </c>
      <c r="D19" s="14" t="n">
        <v>0.1</v>
      </c>
      <c r="E19" s="10" t="n">
        <v>60000</v>
      </c>
      <c r="F19" s="10" t="n">
        <v>15000</v>
      </c>
      <c r="G19" s="9" t="inlineStr">
        <is>
          <t>F36</t>
        </is>
      </c>
    </row>
    <row r="20">
      <c r="A20" s="7" t="inlineStr">
        <is>
          <t>Control: el mix tiene que sumar 100 %</t>
        </is>
      </c>
      <c r="B20" s="16">
        <f>SUM(B16:B19)</f>
        <v/>
      </c>
      <c r="G20" s="7">
        <f>IF(ABS(B20-1)&lt;0.001,"OK","REVISAR: el mix no suma 100 %")</f>
        <v/>
      </c>
    </row>
    <row r="22">
      <c r="A22" s="11" t="inlineStr">
        <is>
          <t>Costos variables y alícuotas</t>
        </is>
      </c>
      <c r="B22" s="12" t="n"/>
      <c r="C22" s="12" t="n"/>
      <c r="D22" s="12" t="n"/>
      <c r="E22" s="12" t="n"/>
      <c r="F22" s="12" t="n"/>
      <c r="G22" s="12" t="n"/>
    </row>
    <row r="23">
      <c r="A23" s="9" t="inlineStr">
        <is>
          <t>Comisión de cobro (tarjeta / MP)</t>
        </is>
      </c>
      <c r="B23" s="14" t="n">
        <v>0.03</v>
      </c>
      <c r="G23" s="9" t="inlineStr">
        <is>
          <t>Sobre la facturación.</t>
        </is>
      </c>
    </row>
    <row r="24">
      <c r="A24" s="9" t="inlineStr">
        <is>
          <t>Ingresos Brutos (promedio CABA + PBA)</t>
        </is>
      </c>
      <c r="B24" s="14" t="n">
        <v>0.024</v>
      </c>
      <c r="G24" s="9" t="inlineStr">
        <is>
          <t>Encuadre «instalación con provisión de equipo».</t>
        </is>
      </c>
    </row>
    <row r="25">
      <c r="A25" s="9" t="inlineStr">
        <is>
          <t>Costo de adquisición de cliente (CAC)</t>
        </is>
      </c>
      <c r="B25" s="10" t="n">
        <v>40000</v>
      </c>
      <c r="G25" s="9" t="inlineStr">
        <is>
          <t>Pauta dividida por obras cerradas.</t>
        </is>
      </c>
    </row>
    <row r="26">
      <c r="A26" s="9" t="inlineStr">
        <is>
          <t>Seña cobrada al firmar</t>
        </is>
      </c>
      <c r="B26" s="14" t="n">
        <v>0.5</v>
      </c>
      <c r="G26" s="9" t="inlineStr">
        <is>
          <t>Lo que financia la compra del equipo.</t>
        </is>
      </c>
    </row>
    <row r="27">
      <c r="A27" s="9" t="inlineStr">
        <is>
          <t>Días hasta cobrar el saldo</t>
        </is>
      </c>
      <c r="B27" s="17" t="n">
        <v>15</v>
      </c>
      <c r="G27" s="9" t="inlineStr">
        <is>
          <t>Parte del saldo cae en el mes siguiente.</t>
        </is>
      </c>
    </row>
    <row r="28">
      <c r="A28" s="9" t="inlineStr">
        <is>
          <t>Impuesto al cheque (débitos + créditos)</t>
        </is>
      </c>
      <c r="B28" s="14" t="n">
        <v>0.012</v>
      </c>
      <c r="G28" s="9" t="inlineStr">
        <is>
          <t>Computable como pago a cuenta de Ganancias (MiPyME).</t>
        </is>
      </c>
    </row>
    <row r="29">
      <c r="A29" s="9" t="inlineStr">
        <is>
          <t>Ganancias — 1er tramo</t>
        </is>
      </c>
      <c r="B29" s="14" t="n">
        <v>0.25</v>
      </c>
      <c r="G29" s="9" t="inlineStr">
        <is>
          <t>Escala del art. 73 LIG.</t>
        </is>
      </c>
    </row>
    <row r="30">
      <c r="A30" s="9" t="inlineStr">
        <is>
          <t>Ganancias — límite del 1er tramo</t>
        </is>
      </c>
      <c r="B30" s="10" t="n">
        <v>133514186</v>
      </c>
      <c r="G30" s="9" t="inlineStr">
        <is>
          <t>Actualizado por IPC.</t>
        </is>
      </c>
    </row>
    <row r="31">
      <c r="A31" s="9" t="inlineStr">
        <is>
          <t>Ganancias — 2º tramo</t>
        </is>
      </c>
      <c r="B31" s="14" t="n">
        <v>0.3</v>
      </c>
      <c r="G31" s="9" t="inlineStr"/>
    </row>
    <row r="32">
      <c r="A32" s="9" t="inlineStr">
        <is>
          <t>Ganancias — límite del 2º tramo</t>
        </is>
      </c>
      <c r="B32" s="10" t="n">
        <v>1335141860</v>
      </c>
      <c r="G32" s="9" t="inlineStr"/>
    </row>
    <row r="33">
      <c r="A33" s="9" t="inlineStr">
        <is>
          <t>Ganancias — 3er tramo</t>
        </is>
      </c>
      <c r="B33" s="14" t="n">
        <v>0.35</v>
      </c>
      <c r="G33" s="9" t="inlineStr"/>
    </row>
    <row r="34">
      <c r="A34" s="9" t="inlineStr">
        <is>
          <t>Costo empleador del 1er técnico</t>
        </is>
      </c>
      <c r="B34" s="10" t="n">
        <v>2183000</v>
      </c>
      <c r="G34" s="9" t="inlineStr">
        <is>
          <t>Mensual, con cargas y ART.</t>
        </is>
      </c>
    </row>
    <row r="35">
      <c r="A35" s="9" t="inlineStr">
        <is>
          <t>Mes de alta del técnico (1 = primer mes)</t>
        </is>
      </c>
      <c r="B35" s="17" t="n">
        <v>16</v>
      </c>
      <c r="G35" s="9" t="inlineStr">
        <is>
          <t>Poner 99 para no contratar.</t>
        </is>
      </c>
    </row>
    <row r="36">
      <c r="A36" s="9" t="inlineStr">
        <is>
          <t>Capital aportado</t>
        </is>
      </c>
      <c r="B36" s="10" t="n">
        <v>26400000</v>
      </c>
      <c r="G36" s="9" t="inlineStr">
        <is>
          <t>€ 15.000</t>
        </is>
      </c>
    </row>
    <row r="37">
      <c r="A37" s="9" t="inlineStr">
        <is>
          <t>Desembolsos únicos de puesta en marcha</t>
        </is>
      </c>
      <c r="B37" s="10" t="n">
        <v>3687200</v>
      </c>
      <c r="G37" s="9" t="inlineStr">
        <is>
          <t>Bloques A y B del presupuesto; salen en el mes 1.</t>
        </is>
      </c>
    </row>
    <row r="39">
      <c r="A39" s="11" t="inlineStr">
        <is>
          <t>Estructura fija mensual</t>
        </is>
      </c>
      <c r="B39" s="12" t="n"/>
      <c r="C39" s="12" t="n"/>
      <c r="D39" s="12" t="n"/>
      <c r="E39" s="12" t="n"/>
      <c r="F39" s="12" t="n"/>
      <c r="G39" s="12" t="n"/>
    </row>
    <row r="40">
      <c r="A40" s="9" t="inlineStr">
        <is>
          <t>Contador</t>
        </is>
      </c>
      <c r="B40" s="10" t="n">
        <v>176000</v>
      </c>
      <c r="G40" s="9" t="inlineStr"/>
    </row>
    <row r="41">
      <c r="A41" s="9" t="inlineStr">
        <is>
          <t>Stack digital (ERP + Workspace)</t>
        </is>
      </c>
      <c r="B41" s="10" t="n">
        <v>167000</v>
      </c>
      <c r="G41" s="9" t="inlineStr"/>
    </row>
    <row r="42">
      <c r="A42" s="9" t="inlineStr">
        <is>
          <t>Seguros RC + AP instaladores</t>
        </is>
      </c>
      <c r="B42" s="10" t="n">
        <v>273000</v>
      </c>
      <c r="G42" s="9" t="inlineStr"/>
    </row>
    <row r="43">
      <c r="A43" s="9" t="inlineStr">
        <is>
          <t>Autónomos del gerente</t>
        </is>
      </c>
      <c r="B43" s="10" t="n">
        <v>141000</v>
      </c>
      <c r="G43" s="9" t="inlineStr"/>
    </row>
    <row r="44">
      <c r="A44" s="9" t="inlineStr">
        <is>
          <t>Movilidad y combustible</t>
        </is>
      </c>
      <c r="B44" s="10" t="n">
        <v>211000</v>
      </c>
      <c r="G44" s="9" t="inlineStr"/>
    </row>
    <row r="45">
      <c r="A45" s="9" t="inlineStr">
        <is>
          <t>IIBB mínimos, bancarios y varios</t>
        </is>
      </c>
      <c r="B45" s="10" t="n">
        <v>62000</v>
      </c>
      <c r="G45" s="9" t="inlineStr"/>
    </row>
    <row r="46">
      <c r="A46" s="7" t="inlineStr">
        <is>
          <t>TOTAL ESTRUCTURA / MES</t>
        </is>
      </c>
      <c r="B46" s="18">
        <f>SUM(B40:B45)</f>
        <v/>
      </c>
      <c r="C46" s="19">
        <f>B46/Supuestos!$B$5</f>
        <v/>
      </c>
    </row>
    <row r="48">
      <c r="A48" s="11" t="inlineStr">
        <is>
          <t>Series mensuales (24 meses)</t>
        </is>
      </c>
      <c r="B48" s="12" t="n"/>
      <c r="C48" s="12" t="n"/>
      <c r="D48" s="12" t="n"/>
      <c r="E48" s="12" t="n"/>
      <c r="F48" s="12" t="n"/>
      <c r="G48" s="12" t="n"/>
    </row>
    <row r="49">
      <c r="A49" s="9" t="inlineStr">
        <is>
          <t>Mes</t>
        </is>
      </c>
      <c r="B49" s="11" t="inlineStr">
        <is>
          <t>sep-26</t>
        </is>
      </c>
      <c r="C49" s="11" t="inlineStr">
        <is>
          <t>oct-26</t>
        </is>
      </c>
      <c r="D49" s="11" t="inlineStr">
        <is>
          <t>nov-26</t>
        </is>
      </c>
      <c r="E49" s="11" t="inlineStr">
        <is>
          <t>dic-26</t>
        </is>
      </c>
      <c r="F49" s="11" t="inlineStr">
        <is>
          <t>ene-27</t>
        </is>
      </c>
      <c r="G49" s="11" t="inlineStr">
        <is>
          <t>feb-27</t>
        </is>
      </c>
      <c r="H49" s="11" t="inlineStr">
        <is>
          <t>mar-27</t>
        </is>
      </c>
      <c r="I49" s="11" t="inlineStr">
        <is>
          <t>abr-27</t>
        </is>
      </c>
      <c r="J49" s="11" t="inlineStr">
        <is>
          <t>may-27</t>
        </is>
      </c>
      <c r="K49" s="11" t="inlineStr">
        <is>
          <t>jun-27</t>
        </is>
      </c>
      <c r="L49" s="11" t="inlineStr">
        <is>
          <t>jul-27</t>
        </is>
      </c>
      <c r="M49" s="11" t="inlineStr">
        <is>
          <t>ago-27</t>
        </is>
      </c>
      <c r="N49" s="11" t="inlineStr">
        <is>
          <t>sep-27</t>
        </is>
      </c>
      <c r="O49" s="11" t="inlineStr">
        <is>
          <t>oct-27</t>
        </is>
      </c>
      <c r="P49" s="11" t="inlineStr">
        <is>
          <t>nov-27</t>
        </is>
      </c>
      <c r="Q49" s="11" t="inlineStr">
        <is>
          <t>dic-27</t>
        </is>
      </c>
      <c r="R49" s="11" t="inlineStr">
        <is>
          <t>ene-28</t>
        </is>
      </c>
      <c r="S49" s="11" t="inlineStr">
        <is>
          <t>feb-28</t>
        </is>
      </c>
      <c r="T49" s="11" t="inlineStr">
        <is>
          <t>mar-28</t>
        </is>
      </c>
      <c r="U49" s="11" t="inlineStr">
        <is>
          <t>abr-28</t>
        </is>
      </c>
      <c r="V49" s="11" t="inlineStr">
        <is>
          <t>may-28</t>
        </is>
      </c>
      <c r="W49" s="11" t="inlineStr">
        <is>
          <t>jun-28</t>
        </is>
      </c>
      <c r="X49" s="11" t="inlineStr">
        <is>
          <t>jul-28</t>
        </is>
      </c>
      <c r="Y49" s="11" t="inlineStr">
        <is>
          <t>ago-28</t>
        </is>
      </c>
    </row>
    <row r="50">
      <c r="A50" s="7" t="inlineStr">
        <is>
          <t>Obras del mes (antes del escenario)</t>
        </is>
      </c>
      <c r="B50" s="17" t="n">
        <v>5</v>
      </c>
      <c r="C50" s="17" t="n">
        <v>10</v>
      </c>
      <c r="D50" s="17" t="n">
        <v>18</v>
      </c>
      <c r="E50" s="17" t="n">
        <v>30</v>
      </c>
      <c r="F50" s="17" t="n">
        <v>32</v>
      </c>
      <c r="G50" s="17" t="n">
        <v>25</v>
      </c>
      <c r="H50" s="17" t="n">
        <v>14</v>
      </c>
      <c r="I50" s="17" t="n">
        <v>8</v>
      </c>
      <c r="J50" s="17" t="n">
        <v>5</v>
      </c>
      <c r="K50" s="17" t="n">
        <v>4</v>
      </c>
      <c r="L50" s="17" t="n">
        <v>4</v>
      </c>
      <c r="M50" s="17" t="n">
        <v>6</v>
      </c>
      <c r="N50" s="17" t="n">
        <v>10</v>
      </c>
      <c r="O50" s="17" t="n">
        <v>18</v>
      </c>
      <c r="P50" s="17" t="n">
        <v>28</v>
      </c>
      <c r="Q50" s="17" t="n">
        <v>42</v>
      </c>
      <c r="R50" s="17" t="n">
        <v>45</v>
      </c>
      <c r="S50" s="17" t="n">
        <v>35</v>
      </c>
      <c r="T50" s="17" t="n">
        <v>20</v>
      </c>
      <c r="U50" s="17" t="n">
        <v>12</v>
      </c>
      <c r="V50" s="17" t="n">
        <v>8</v>
      </c>
      <c r="W50" s="17" t="n">
        <v>6</v>
      </c>
      <c r="X50" s="17" t="n">
        <v>6</v>
      </c>
      <c r="Y50" s="17" t="n">
        <v>10</v>
      </c>
    </row>
    <row r="51">
      <c r="A51" s="7" t="inlineStr">
        <is>
          <t>Marketing del mes (ARS)</t>
        </is>
      </c>
      <c r="B51" s="10" t="n">
        <v>250000</v>
      </c>
      <c r="C51" s="10" t="n">
        <v>400000</v>
      </c>
      <c r="D51" s="10" t="n">
        <v>600000</v>
      </c>
      <c r="E51" s="10" t="n">
        <v>700000</v>
      </c>
      <c r="F51" s="10" t="n">
        <v>700000</v>
      </c>
      <c r="G51" s="10" t="n">
        <v>600000</v>
      </c>
      <c r="H51" s="10" t="n">
        <v>350000</v>
      </c>
      <c r="I51" s="10" t="n">
        <v>250000</v>
      </c>
      <c r="J51" s="10" t="n">
        <v>200000</v>
      </c>
      <c r="K51" s="10" t="n">
        <v>200000</v>
      </c>
      <c r="L51" s="10" t="n">
        <v>200000</v>
      </c>
      <c r="M51" s="10" t="n">
        <v>250000</v>
      </c>
      <c r="N51" s="10" t="n">
        <v>400000</v>
      </c>
      <c r="O51" s="10" t="n">
        <v>550000</v>
      </c>
      <c r="P51" s="10" t="n">
        <v>750000</v>
      </c>
      <c r="Q51" s="10" t="n">
        <v>850000</v>
      </c>
      <c r="R51" s="10" t="n">
        <v>850000</v>
      </c>
      <c r="S51" s="10" t="n">
        <v>700000</v>
      </c>
      <c r="T51" s="10" t="n">
        <v>450000</v>
      </c>
      <c r="U51" s="10" t="n">
        <v>300000</v>
      </c>
      <c r="V51" s="10" t="n">
        <v>250000</v>
      </c>
      <c r="W51" s="10" t="n">
        <v>250000</v>
      </c>
      <c r="X51" s="10" t="n">
        <v>250000</v>
      </c>
      <c r="Y51" s="10" t="n">
        <v>300000</v>
      </c>
    </row>
  </sheetData>
  <dataValidations count="1">
    <dataValidation sqref="B4" showDropDown="0" showInputMessage="0" showErrorMessage="0" allowBlank="0" type="list">
      <formula1>"Conservador,Base,Optimista"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Unit economics — qué deja cada obra</t>
        </is>
      </c>
    </row>
    <row r="2">
      <c r="A2" s="6" t="inlineStr">
        <is>
          <t>Todo se calcula desde «Supuestos». La obra tipo es el promedio ponderado por el mix.</t>
        </is>
      </c>
    </row>
    <row r="4">
      <c r="A4" s="13" t="inlineStr">
        <is>
          <t>Categoría</t>
        </is>
      </c>
      <c r="B4" s="13" t="inlineStr">
        <is>
          <t>Mix</t>
        </is>
      </c>
      <c r="C4" s="13" t="inlineStr">
        <is>
          <t>Ticket</t>
        </is>
      </c>
      <c r="D4" s="13" t="inlineStr">
        <is>
          <t>Equipo</t>
        </is>
      </c>
      <c r="E4" s="13" t="inlineStr">
        <is>
          <t>Instalación</t>
        </is>
      </c>
      <c r="F4" s="13" t="inlineStr">
        <is>
          <t>Materiales</t>
        </is>
      </c>
      <c r="G4" s="13" t="inlineStr">
        <is>
          <t>Margen bruto</t>
        </is>
      </c>
      <c r="H4" s="13" t="inlineStr">
        <is>
          <t>% MB</t>
        </is>
      </c>
      <c r="I4" s="13" t="inlineStr">
        <is>
          <t>Comisión + IIBB</t>
        </is>
      </c>
      <c r="J4" s="13" t="inlineStr">
        <is>
          <t>Contribución</t>
        </is>
      </c>
    </row>
    <row r="5">
      <c r="A5" s="9">
        <f>Supuestos!A16</f>
        <v/>
      </c>
      <c r="B5" s="20">
        <f>Supuestos!B16</f>
        <v/>
      </c>
      <c r="C5" s="21">
        <f>Supuestos!C16*Supuestos!$C$12</f>
        <v/>
      </c>
      <c r="D5" s="21">
        <f>C5*Supuestos!D16</f>
        <v/>
      </c>
      <c r="E5" s="21">
        <f>Supuestos!E16</f>
        <v/>
      </c>
      <c r="F5" s="21">
        <f>Supuestos!F16</f>
        <v/>
      </c>
      <c r="G5" s="21">
        <f>C5-D5-E5-F5</f>
        <v/>
      </c>
      <c r="H5" s="20">
        <f>IF(C5=0,0,G5/C5)</f>
        <v/>
      </c>
      <c r="I5" s="21">
        <f>C5*(Supuestos!$B$23+Supuestos!$B$24)</f>
        <v/>
      </c>
      <c r="J5" s="21">
        <f>G5-I5</f>
        <v/>
      </c>
    </row>
    <row r="6">
      <c r="A6" s="9">
        <f>Supuestos!A17</f>
        <v/>
      </c>
      <c r="B6" s="20">
        <f>Supuestos!B17</f>
        <v/>
      </c>
      <c r="C6" s="21">
        <f>Supuestos!C17*Supuestos!$C$12</f>
        <v/>
      </c>
      <c r="D6" s="21">
        <f>C6*Supuestos!D17</f>
        <v/>
      </c>
      <c r="E6" s="21">
        <f>Supuestos!E17</f>
        <v/>
      </c>
      <c r="F6" s="21">
        <f>Supuestos!F17</f>
        <v/>
      </c>
      <c r="G6" s="21">
        <f>C6-D6-E6-F6</f>
        <v/>
      </c>
      <c r="H6" s="20">
        <f>IF(C6=0,0,G6/C6)</f>
        <v/>
      </c>
      <c r="I6" s="21">
        <f>C6*(Supuestos!$B$23+Supuestos!$B$24)</f>
        <v/>
      </c>
      <c r="J6" s="21">
        <f>G6-I6</f>
        <v/>
      </c>
    </row>
    <row r="7">
      <c r="A7" s="9">
        <f>Supuestos!A18</f>
        <v/>
      </c>
      <c r="B7" s="20">
        <f>Supuestos!B18</f>
        <v/>
      </c>
      <c r="C7" s="21">
        <f>Supuestos!C18*Supuestos!$C$12</f>
        <v/>
      </c>
      <c r="D7" s="21">
        <f>C7*Supuestos!D18</f>
        <v/>
      </c>
      <c r="E7" s="21">
        <f>Supuestos!E18</f>
        <v/>
      </c>
      <c r="F7" s="21">
        <f>Supuestos!F18</f>
        <v/>
      </c>
      <c r="G7" s="21">
        <f>C7-D7-E7-F7</f>
        <v/>
      </c>
      <c r="H7" s="20">
        <f>IF(C7=0,0,G7/C7)</f>
        <v/>
      </c>
      <c r="I7" s="21">
        <f>C7*(Supuestos!$B$23+Supuestos!$B$24)</f>
        <v/>
      </c>
      <c r="J7" s="21">
        <f>G7-I7</f>
        <v/>
      </c>
    </row>
    <row r="8">
      <c r="A8" s="9">
        <f>Supuestos!A19</f>
        <v/>
      </c>
      <c r="B8" s="20">
        <f>Supuestos!B19</f>
        <v/>
      </c>
      <c r="C8" s="21">
        <f>Supuestos!C19*Supuestos!$C$12</f>
        <v/>
      </c>
      <c r="D8" s="21">
        <f>C8*Supuestos!D19</f>
        <v/>
      </c>
      <c r="E8" s="21">
        <f>Supuestos!E19</f>
        <v/>
      </c>
      <c r="F8" s="21">
        <f>Supuestos!F19</f>
        <v/>
      </c>
      <c r="G8" s="21">
        <f>C8-D8-E8-F8</f>
        <v/>
      </c>
      <c r="H8" s="20">
        <f>IF(C8=0,0,G8/C8)</f>
        <v/>
      </c>
      <c r="I8" s="21">
        <f>C8*(Supuestos!$B$23+Supuestos!$B$24)</f>
        <v/>
      </c>
      <c r="J8" s="21">
        <f>G8-I8</f>
        <v/>
      </c>
    </row>
    <row r="9">
      <c r="A9" s="11" t="inlineStr">
        <is>
          <t>OBRA TIPO (promedio ponderado)</t>
        </is>
      </c>
      <c r="B9" s="15">
        <f>SUM(B5:B8)</f>
        <v/>
      </c>
      <c r="C9" s="22">
        <f>SUMPRODUCT($C$5:$C$8,$B$5:$B$8)</f>
        <v/>
      </c>
      <c r="D9" s="22">
        <f>SUMPRODUCT($D$5:$D$8,$B$5:$B$8)</f>
        <v/>
      </c>
      <c r="E9" s="22">
        <f>SUMPRODUCT($E$5:$E$8,$B$5:$B$8)</f>
        <v/>
      </c>
      <c r="F9" s="22">
        <f>SUMPRODUCT($F$5:$F$8,$B$5:$B$8)</f>
        <v/>
      </c>
      <c r="G9" s="22">
        <f>SUMPRODUCT($G$5:$G$8,$B$5:$B$8)</f>
        <v/>
      </c>
      <c r="H9" s="15">
        <f>IF(C9=0,0,G9/C9)</f>
        <v/>
      </c>
      <c r="I9" s="22">
        <f>SUMPRODUCT($I$5:$I$8,$B$5:$B$8)</f>
        <v/>
      </c>
      <c r="J9" s="22">
        <f>SUMPRODUCT($J$5:$J$8,$B$5:$B$8)</f>
        <v/>
      </c>
    </row>
    <row r="11">
      <c r="A11" s="7" t="inlineStr">
        <is>
          <t>Menos costo de adquisición de cliente (CAC)</t>
        </is>
      </c>
      <c r="B11" s="21">
        <f>-Supuestos!$B$25</f>
        <v/>
      </c>
    </row>
    <row r="12">
      <c r="A12" s="7" t="inlineStr">
        <is>
          <t>CONTRIBUCIÓN NETA POR OBRA TIPO</t>
        </is>
      </c>
      <c r="B12" s="18">
        <f>'Unit economics'!$J$9-Supuestos!$B$25</f>
        <v/>
      </c>
      <c r="C12" s="19">
        <f>B12/Supuestos!$B$5</f>
        <v/>
      </c>
    </row>
    <row r="13">
      <c r="A13" s="7" t="inlineStr">
        <is>
          <t>Seña que se cobra al firmar</t>
        </is>
      </c>
      <c r="B13" s="21">
        <f>'Unit economics'!$C$9*Supuestos!$B$26</f>
        <v/>
      </c>
      <c r="G13" s="7" t="inlineStr">
        <is>
          <t>← tiene que alcanzar para pagar el equipo antes de pedirlo</t>
        </is>
      </c>
    </row>
    <row r="14">
      <c r="A14" s="9" t="inlineStr">
        <is>
          <t>Costo del equipo de la obra tipo</t>
        </is>
      </c>
      <c r="B14" s="21">
        <f>'Unit economics'!$D$9</f>
        <v/>
      </c>
    </row>
    <row r="15">
      <c r="A15" s="7" t="inlineStr">
        <is>
          <t>Colchón de la seña sobre el equipo</t>
        </is>
      </c>
      <c r="B15" s="18">
        <f>B13-B14</f>
        <v/>
      </c>
      <c r="G15" s="7">
        <f>IF(B15&gt;=0,"OK: la seña cubre el equipo","ALERTA: el equipo se financia con capital propio")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Estado de resultados — 24 meses</t>
        </is>
      </c>
    </row>
    <row r="2">
      <c r="A2" s="6" t="inlineStr">
        <is>
          <t>Fórmulas sobre «Supuestos» y «Unit economics». El año 1 son los meses 1-12; el año 2, los 13-24.</t>
        </is>
      </c>
    </row>
    <row r="4">
      <c r="A4" s="13" t="inlineStr">
        <is>
          <t>Concepto</t>
        </is>
      </c>
      <c r="B4" s="13" t="inlineStr">
        <is>
          <t>sep-26</t>
        </is>
      </c>
      <c r="C4" s="13" t="inlineStr">
        <is>
          <t>oct-26</t>
        </is>
      </c>
      <c r="D4" s="13" t="inlineStr">
        <is>
          <t>nov-26</t>
        </is>
      </c>
      <c r="E4" s="13" t="inlineStr">
        <is>
          <t>dic-26</t>
        </is>
      </c>
      <c r="F4" s="13" t="inlineStr">
        <is>
          <t>ene-27</t>
        </is>
      </c>
      <c r="G4" s="13" t="inlineStr">
        <is>
          <t>feb-27</t>
        </is>
      </c>
      <c r="H4" s="13" t="inlineStr">
        <is>
          <t>mar-27</t>
        </is>
      </c>
      <c r="I4" s="13" t="inlineStr">
        <is>
          <t>abr-27</t>
        </is>
      </c>
      <c r="J4" s="13" t="inlineStr">
        <is>
          <t>may-27</t>
        </is>
      </c>
      <c r="K4" s="13" t="inlineStr">
        <is>
          <t>jun-27</t>
        </is>
      </c>
      <c r="L4" s="13" t="inlineStr">
        <is>
          <t>jul-27</t>
        </is>
      </c>
      <c r="M4" s="13" t="inlineStr">
        <is>
          <t>ago-27</t>
        </is>
      </c>
      <c r="N4" s="13" t="inlineStr">
        <is>
          <t>sep-27</t>
        </is>
      </c>
      <c r="O4" s="13" t="inlineStr">
        <is>
          <t>oct-27</t>
        </is>
      </c>
      <c r="P4" s="13" t="inlineStr">
        <is>
          <t>nov-27</t>
        </is>
      </c>
      <c r="Q4" s="13" t="inlineStr">
        <is>
          <t>dic-27</t>
        </is>
      </c>
      <c r="R4" s="13" t="inlineStr">
        <is>
          <t>ene-28</t>
        </is>
      </c>
      <c r="S4" s="13" t="inlineStr">
        <is>
          <t>feb-28</t>
        </is>
      </c>
      <c r="T4" s="13" t="inlineStr">
        <is>
          <t>mar-28</t>
        </is>
      </c>
      <c r="U4" s="13" t="inlineStr">
        <is>
          <t>abr-28</t>
        </is>
      </c>
      <c r="V4" s="13" t="inlineStr">
        <is>
          <t>may-28</t>
        </is>
      </c>
      <c r="W4" s="13" t="inlineStr">
        <is>
          <t>jun-28</t>
        </is>
      </c>
      <c r="X4" s="13" t="inlineStr">
        <is>
          <t>jul-28</t>
        </is>
      </c>
      <c r="Y4" s="13" t="inlineStr">
        <is>
          <t>ago-28</t>
        </is>
      </c>
      <c r="Z4" s="13" t="inlineStr">
        <is>
          <t>Año 1</t>
        </is>
      </c>
      <c r="AA4" s="13" t="inlineStr">
        <is>
          <t>Año 2</t>
        </is>
      </c>
    </row>
    <row r="5">
      <c r="A5" s="7" t="inlineStr">
        <is>
          <t>Obras</t>
        </is>
      </c>
      <c r="B5" s="23">
        <f>Supuestos!B$50*Supuestos!$B$12</f>
        <v/>
      </c>
      <c r="C5" s="23">
        <f>Supuestos!C$50*Supuestos!$B$12</f>
        <v/>
      </c>
      <c r="D5" s="23">
        <f>Supuestos!D$50*Supuestos!$B$12</f>
        <v/>
      </c>
      <c r="E5" s="23">
        <f>Supuestos!E$50*Supuestos!$B$12</f>
        <v/>
      </c>
      <c r="F5" s="23">
        <f>Supuestos!F$50*Supuestos!$B$12</f>
        <v/>
      </c>
      <c r="G5" s="23">
        <f>Supuestos!G$50*Supuestos!$B$12</f>
        <v/>
      </c>
      <c r="H5" s="23">
        <f>Supuestos!H$50*Supuestos!$B$12</f>
        <v/>
      </c>
      <c r="I5" s="23">
        <f>Supuestos!I$50*Supuestos!$B$12</f>
        <v/>
      </c>
      <c r="J5" s="23">
        <f>Supuestos!J$50*Supuestos!$B$12</f>
        <v/>
      </c>
      <c r="K5" s="23">
        <f>Supuestos!K$50*Supuestos!$B$12</f>
        <v/>
      </c>
      <c r="L5" s="23">
        <f>Supuestos!L$50*Supuestos!$B$12</f>
        <v/>
      </c>
      <c r="M5" s="23">
        <f>Supuestos!M$50*Supuestos!$B$12</f>
        <v/>
      </c>
      <c r="N5" s="23">
        <f>Supuestos!N$50*Supuestos!$B$12</f>
        <v/>
      </c>
      <c r="O5" s="23">
        <f>Supuestos!O$50*Supuestos!$B$12</f>
        <v/>
      </c>
      <c r="P5" s="23">
        <f>Supuestos!P$50*Supuestos!$B$12</f>
        <v/>
      </c>
      <c r="Q5" s="23">
        <f>Supuestos!Q$50*Supuestos!$B$12</f>
        <v/>
      </c>
      <c r="R5" s="23">
        <f>Supuestos!R$50*Supuestos!$B$12</f>
        <v/>
      </c>
      <c r="S5" s="23">
        <f>Supuestos!S$50*Supuestos!$B$12</f>
        <v/>
      </c>
      <c r="T5" s="23">
        <f>Supuestos!T$50*Supuestos!$B$12</f>
        <v/>
      </c>
      <c r="U5" s="23">
        <f>Supuestos!U$50*Supuestos!$B$12</f>
        <v/>
      </c>
      <c r="V5" s="23">
        <f>Supuestos!V$50*Supuestos!$B$12</f>
        <v/>
      </c>
      <c r="W5" s="23">
        <f>Supuestos!W$50*Supuestos!$B$12</f>
        <v/>
      </c>
      <c r="X5" s="23">
        <f>Supuestos!X$50*Supuestos!$B$12</f>
        <v/>
      </c>
      <c r="Y5" s="23">
        <f>Supuestos!Y$50*Supuestos!$B$12</f>
        <v/>
      </c>
      <c r="Z5" s="24">
        <f>SUM(B5:M5)</f>
        <v/>
      </c>
      <c r="AA5" s="24">
        <f>SUM(N5:Y5)</f>
        <v/>
      </c>
    </row>
    <row r="6">
      <c r="A6" s="9" t="inlineStr">
        <is>
          <t>Facturación</t>
        </is>
      </c>
      <c r="B6" s="21">
        <f>B5*'Unit economics'!$C$9</f>
        <v/>
      </c>
      <c r="C6" s="21">
        <f>C5*'Unit economics'!$C$9</f>
        <v/>
      </c>
      <c r="D6" s="21">
        <f>D5*'Unit economics'!$C$9</f>
        <v/>
      </c>
      <c r="E6" s="21">
        <f>E5*'Unit economics'!$C$9</f>
        <v/>
      </c>
      <c r="F6" s="21">
        <f>F5*'Unit economics'!$C$9</f>
        <v/>
      </c>
      <c r="G6" s="21">
        <f>G5*'Unit economics'!$C$9</f>
        <v/>
      </c>
      <c r="H6" s="21">
        <f>H5*'Unit economics'!$C$9</f>
        <v/>
      </c>
      <c r="I6" s="21">
        <f>I5*'Unit economics'!$C$9</f>
        <v/>
      </c>
      <c r="J6" s="21">
        <f>J5*'Unit economics'!$C$9</f>
        <v/>
      </c>
      <c r="K6" s="21">
        <f>K5*'Unit economics'!$C$9</f>
        <v/>
      </c>
      <c r="L6" s="21">
        <f>L5*'Unit economics'!$C$9</f>
        <v/>
      </c>
      <c r="M6" s="21">
        <f>M5*'Unit economics'!$C$9</f>
        <v/>
      </c>
      <c r="N6" s="21">
        <f>N5*'Unit economics'!$C$9</f>
        <v/>
      </c>
      <c r="O6" s="21">
        <f>O5*'Unit economics'!$C$9</f>
        <v/>
      </c>
      <c r="P6" s="21">
        <f>P5*'Unit economics'!$C$9</f>
        <v/>
      </c>
      <c r="Q6" s="21">
        <f>Q5*'Unit economics'!$C$9</f>
        <v/>
      </c>
      <c r="R6" s="21">
        <f>R5*'Unit economics'!$C$9</f>
        <v/>
      </c>
      <c r="S6" s="21">
        <f>S5*'Unit economics'!$C$9</f>
        <v/>
      </c>
      <c r="T6" s="21">
        <f>T5*'Unit economics'!$C$9</f>
        <v/>
      </c>
      <c r="U6" s="21">
        <f>U5*'Unit economics'!$C$9</f>
        <v/>
      </c>
      <c r="V6" s="21">
        <f>V5*'Unit economics'!$C$9</f>
        <v/>
      </c>
      <c r="W6" s="21">
        <f>W5*'Unit economics'!$C$9</f>
        <v/>
      </c>
      <c r="X6" s="21">
        <f>X5*'Unit economics'!$C$9</f>
        <v/>
      </c>
      <c r="Y6" s="21">
        <f>Y5*'Unit economics'!$C$9</f>
        <v/>
      </c>
      <c r="Z6" s="22">
        <f>SUM(B6:M6)</f>
        <v/>
      </c>
      <c r="AA6" s="22">
        <f>SUM(N6:Y6)</f>
        <v/>
      </c>
    </row>
    <row r="7">
      <c r="A7" s="9" t="inlineStr">
        <is>
          <t>Costo de equipos</t>
        </is>
      </c>
      <c r="B7" s="21">
        <f>-B5*'Unit economics'!$D$9</f>
        <v/>
      </c>
      <c r="C7" s="21">
        <f>-C5*'Unit economics'!$D$9</f>
        <v/>
      </c>
      <c r="D7" s="21">
        <f>-D5*'Unit economics'!$D$9</f>
        <v/>
      </c>
      <c r="E7" s="21">
        <f>-E5*'Unit economics'!$D$9</f>
        <v/>
      </c>
      <c r="F7" s="21">
        <f>-F5*'Unit economics'!$D$9</f>
        <v/>
      </c>
      <c r="G7" s="21">
        <f>-G5*'Unit economics'!$D$9</f>
        <v/>
      </c>
      <c r="H7" s="21">
        <f>-H5*'Unit economics'!$D$9</f>
        <v/>
      </c>
      <c r="I7" s="21">
        <f>-I5*'Unit economics'!$D$9</f>
        <v/>
      </c>
      <c r="J7" s="21">
        <f>-J5*'Unit economics'!$D$9</f>
        <v/>
      </c>
      <c r="K7" s="21">
        <f>-K5*'Unit economics'!$D$9</f>
        <v/>
      </c>
      <c r="L7" s="21">
        <f>-L5*'Unit economics'!$D$9</f>
        <v/>
      </c>
      <c r="M7" s="21">
        <f>-M5*'Unit economics'!$D$9</f>
        <v/>
      </c>
      <c r="N7" s="21">
        <f>-N5*'Unit economics'!$D$9</f>
        <v/>
      </c>
      <c r="O7" s="21">
        <f>-O5*'Unit economics'!$D$9</f>
        <v/>
      </c>
      <c r="P7" s="21">
        <f>-P5*'Unit economics'!$D$9</f>
        <v/>
      </c>
      <c r="Q7" s="21">
        <f>-Q5*'Unit economics'!$D$9</f>
        <v/>
      </c>
      <c r="R7" s="21">
        <f>-R5*'Unit economics'!$D$9</f>
        <v/>
      </c>
      <c r="S7" s="21">
        <f>-S5*'Unit economics'!$D$9</f>
        <v/>
      </c>
      <c r="T7" s="21">
        <f>-T5*'Unit economics'!$D$9</f>
        <v/>
      </c>
      <c r="U7" s="21">
        <f>-U5*'Unit economics'!$D$9</f>
        <v/>
      </c>
      <c r="V7" s="21">
        <f>-V5*'Unit economics'!$D$9</f>
        <v/>
      </c>
      <c r="W7" s="21">
        <f>-W5*'Unit economics'!$D$9</f>
        <v/>
      </c>
      <c r="X7" s="21">
        <f>-X5*'Unit economics'!$D$9</f>
        <v/>
      </c>
      <c r="Y7" s="21">
        <f>-Y5*'Unit economics'!$D$9</f>
        <v/>
      </c>
      <c r="Z7" s="22">
        <f>SUM(B7:M7)</f>
        <v/>
      </c>
      <c r="AA7" s="22">
        <f>SUM(N7:Y7)</f>
        <v/>
      </c>
    </row>
    <row r="8">
      <c r="A8" s="9" t="inlineStr">
        <is>
          <t>Instalación subcontratada</t>
        </is>
      </c>
      <c r="B8" s="21">
        <f>-B5*'Unit economics'!$E$9</f>
        <v/>
      </c>
      <c r="C8" s="21">
        <f>-C5*'Unit economics'!$E$9</f>
        <v/>
      </c>
      <c r="D8" s="21">
        <f>-D5*'Unit economics'!$E$9</f>
        <v/>
      </c>
      <c r="E8" s="21">
        <f>-E5*'Unit economics'!$E$9</f>
        <v/>
      </c>
      <c r="F8" s="21">
        <f>-F5*'Unit economics'!$E$9</f>
        <v/>
      </c>
      <c r="G8" s="21">
        <f>-G5*'Unit economics'!$E$9</f>
        <v/>
      </c>
      <c r="H8" s="21">
        <f>-H5*'Unit economics'!$E$9</f>
        <v/>
      </c>
      <c r="I8" s="21">
        <f>-I5*'Unit economics'!$E$9</f>
        <v/>
      </c>
      <c r="J8" s="21">
        <f>-J5*'Unit economics'!$E$9</f>
        <v/>
      </c>
      <c r="K8" s="21">
        <f>-K5*'Unit economics'!$E$9</f>
        <v/>
      </c>
      <c r="L8" s="21">
        <f>-L5*'Unit economics'!$E$9</f>
        <v/>
      </c>
      <c r="M8" s="21">
        <f>-M5*'Unit economics'!$E$9</f>
        <v/>
      </c>
      <c r="N8" s="21">
        <f>-N5*'Unit economics'!$E$9</f>
        <v/>
      </c>
      <c r="O8" s="21">
        <f>-O5*'Unit economics'!$E$9</f>
        <v/>
      </c>
      <c r="P8" s="21">
        <f>-P5*'Unit economics'!$E$9</f>
        <v/>
      </c>
      <c r="Q8" s="21">
        <f>-Q5*'Unit economics'!$E$9</f>
        <v/>
      </c>
      <c r="R8" s="21">
        <f>-R5*'Unit economics'!$E$9</f>
        <v/>
      </c>
      <c r="S8" s="21">
        <f>-S5*'Unit economics'!$E$9</f>
        <v/>
      </c>
      <c r="T8" s="21">
        <f>-T5*'Unit economics'!$E$9</f>
        <v/>
      </c>
      <c r="U8" s="21">
        <f>-U5*'Unit economics'!$E$9</f>
        <v/>
      </c>
      <c r="V8" s="21">
        <f>-V5*'Unit economics'!$E$9</f>
        <v/>
      </c>
      <c r="W8" s="21">
        <f>-W5*'Unit economics'!$E$9</f>
        <v/>
      </c>
      <c r="X8" s="21">
        <f>-X5*'Unit economics'!$E$9</f>
        <v/>
      </c>
      <c r="Y8" s="21">
        <f>-Y5*'Unit economics'!$E$9</f>
        <v/>
      </c>
      <c r="Z8" s="22">
        <f>SUM(B8:M8)</f>
        <v/>
      </c>
      <c r="AA8" s="22">
        <f>SUM(N8:Y8)</f>
        <v/>
      </c>
    </row>
    <row r="9">
      <c r="A9" s="9" t="inlineStr">
        <is>
          <t>Materiales</t>
        </is>
      </c>
      <c r="B9" s="21">
        <f>-B5*'Unit economics'!$F$9</f>
        <v/>
      </c>
      <c r="C9" s="21">
        <f>-C5*'Unit economics'!$F$9</f>
        <v/>
      </c>
      <c r="D9" s="21">
        <f>-D5*'Unit economics'!$F$9</f>
        <v/>
      </c>
      <c r="E9" s="21">
        <f>-E5*'Unit economics'!$F$9</f>
        <v/>
      </c>
      <c r="F9" s="21">
        <f>-F5*'Unit economics'!$F$9</f>
        <v/>
      </c>
      <c r="G9" s="21">
        <f>-G5*'Unit economics'!$F$9</f>
        <v/>
      </c>
      <c r="H9" s="21">
        <f>-H5*'Unit economics'!$F$9</f>
        <v/>
      </c>
      <c r="I9" s="21">
        <f>-I5*'Unit economics'!$F$9</f>
        <v/>
      </c>
      <c r="J9" s="21">
        <f>-J5*'Unit economics'!$F$9</f>
        <v/>
      </c>
      <c r="K9" s="21">
        <f>-K5*'Unit economics'!$F$9</f>
        <v/>
      </c>
      <c r="L9" s="21">
        <f>-L5*'Unit economics'!$F$9</f>
        <v/>
      </c>
      <c r="M9" s="21">
        <f>-M5*'Unit economics'!$F$9</f>
        <v/>
      </c>
      <c r="N9" s="21">
        <f>-N5*'Unit economics'!$F$9</f>
        <v/>
      </c>
      <c r="O9" s="21">
        <f>-O5*'Unit economics'!$F$9</f>
        <v/>
      </c>
      <c r="P9" s="21">
        <f>-P5*'Unit economics'!$F$9</f>
        <v/>
      </c>
      <c r="Q9" s="21">
        <f>-Q5*'Unit economics'!$F$9</f>
        <v/>
      </c>
      <c r="R9" s="21">
        <f>-R5*'Unit economics'!$F$9</f>
        <v/>
      </c>
      <c r="S9" s="21">
        <f>-S5*'Unit economics'!$F$9</f>
        <v/>
      </c>
      <c r="T9" s="21">
        <f>-T5*'Unit economics'!$F$9</f>
        <v/>
      </c>
      <c r="U9" s="21">
        <f>-U5*'Unit economics'!$F$9</f>
        <v/>
      </c>
      <c r="V9" s="21">
        <f>-V5*'Unit economics'!$F$9</f>
        <v/>
      </c>
      <c r="W9" s="21">
        <f>-W5*'Unit economics'!$F$9</f>
        <v/>
      </c>
      <c r="X9" s="21">
        <f>-X5*'Unit economics'!$F$9</f>
        <v/>
      </c>
      <c r="Y9" s="21">
        <f>-Y5*'Unit economics'!$F$9</f>
        <v/>
      </c>
      <c r="Z9" s="22">
        <f>SUM(B9:M9)</f>
        <v/>
      </c>
      <c r="AA9" s="22">
        <f>SUM(N9:Y9)</f>
        <v/>
      </c>
    </row>
    <row r="10">
      <c r="A10" s="11" t="inlineStr">
        <is>
          <t>MARGEN BRUTO</t>
        </is>
      </c>
      <c r="B10" s="22">
        <f>SUM(B6:B9)</f>
        <v/>
      </c>
      <c r="C10" s="22">
        <f>SUM(C6:C9)</f>
        <v/>
      </c>
      <c r="D10" s="22">
        <f>SUM(D6:D9)</f>
        <v/>
      </c>
      <c r="E10" s="22">
        <f>SUM(E6:E9)</f>
        <v/>
      </c>
      <c r="F10" s="22">
        <f>SUM(F6:F9)</f>
        <v/>
      </c>
      <c r="G10" s="22">
        <f>SUM(G6:G9)</f>
        <v/>
      </c>
      <c r="H10" s="22">
        <f>SUM(H6:H9)</f>
        <v/>
      </c>
      <c r="I10" s="22">
        <f>SUM(I6:I9)</f>
        <v/>
      </c>
      <c r="J10" s="22">
        <f>SUM(J6:J9)</f>
        <v/>
      </c>
      <c r="K10" s="22">
        <f>SUM(K6:K9)</f>
        <v/>
      </c>
      <c r="L10" s="22">
        <f>SUM(L6:L9)</f>
        <v/>
      </c>
      <c r="M10" s="22">
        <f>SUM(M6:M9)</f>
        <v/>
      </c>
      <c r="N10" s="22">
        <f>SUM(N6:N9)</f>
        <v/>
      </c>
      <c r="O10" s="22">
        <f>SUM(O6:O9)</f>
        <v/>
      </c>
      <c r="P10" s="22">
        <f>SUM(P6:P9)</f>
        <v/>
      </c>
      <c r="Q10" s="22">
        <f>SUM(Q6:Q9)</f>
        <v/>
      </c>
      <c r="R10" s="22">
        <f>SUM(R6:R9)</f>
        <v/>
      </c>
      <c r="S10" s="22">
        <f>SUM(S6:S9)</f>
        <v/>
      </c>
      <c r="T10" s="22">
        <f>SUM(T6:T9)</f>
        <v/>
      </c>
      <c r="U10" s="22">
        <f>SUM(U6:U9)</f>
        <v/>
      </c>
      <c r="V10" s="22">
        <f>SUM(V6:V9)</f>
        <v/>
      </c>
      <c r="W10" s="22">
        <f>SUM(W6:W9)</f>
        <v/>
      </c>
      <c r="X10" s="22">
        <f>SUM(X6:X9)</f>
        <v/>
      </c>
      <c r="Y10" s="22">
        <f>SUM(Y6:Y9)</f>
        <v/>
      </c>
      <c r="Z10" s="22">
        <f>SUM(B10:M10)</f>
        <v/>
      </c>
      <c r="AA10" s="22">
        <f>SUM(N10:Y10)</f>
        <v/>
      </c>
    </row>
    <row r="11">
      <c r="A11" s="9" t="inlineStr">
        <is>
          <t>% margen bruto</t>
        </is>
      </c>
      <c r="B11" s="20">
        <f>IF(B6=0,0,B10/B6)</f>
        <v/>
      </c>
      <c r="C11" s="20">
        <f>IF(C6=0,0,C10/C6)</f>
        <v/>
      </c>
      <c r="D11" s="20">
        <f>IF(D6=0,0,D10/D6)</f>
        <v/>
      </c>
      <c r="E11" s="20">
        <f>IF(E6=0,0,E10/E6)</f>
        <v/>
      </c>
      <c r="F11" s="20">
        <f>IF(F6=0,0,F10/F6)</f>
        <v/>
      </c>
      <c r="G11" s="20">
        <f>IF(G6=0,0,G10/G6)</f>
        <v/>
      </c>
      <c r="H11" s="20">
        <f>IF(H6=0,0,H10/H6)</f>
        <v/>
      </c>
      <c r="I11" s="20">
        <f>IF(I6=0,0,I10/I6)</f>
        <v/>
      </c>
      <c r="J11" s="20">
        <f>IF(J6=0,0,J10/J6)</f>
        <v/>
      </c>
      <c r="K11" s="20">
        <f>IF(K6=0,0,K10/K6)</f>
        <v/>
      </c>
      <c r="L11" s="20">
        <f>IF(L6=0,0,L10/L6)</f>
        <v/>
      </c>
      <c r="M11" s="20">
        <f>IF(M6=0,0,M10/M6)</f>
        <v/>
      </c>
      <c r="N11" s="20">
        <f>IF(N6=0,0,N10/N6)</f>
        <v/>
      </c>
      <c r="O11" s="20">
        <f>IF(O6=0,0,O10/O6)</f>
        <v/>
      </c>
      <c r="P11" s="20">
        <f>IF(P6=0,0,P10/P6)</f>
        <v/>
      </c>
      <c r="Q11" s="20">
        <f>IF(Q6=0,0,Q10/Q6)</f>
        <v/>
      </c>
      <c r="R11" s="20">
        <f>IF(R6=0,0,R10/R6)</f>
        <v/>
      </c>
      <c r="S11" s="20">
        <f>IF(S6=0,0,S10/S6)</f>
        <v/>
      </c>
      <c r="T11" s="20">
        <f>IF(T6=0,0,T10/T6)</f>
        <v/>
      </c>
      <c r="U11" s="20">
        <f>IF(U6=0,0,U10/U6)</f>
        <v/>
      </c>
      <c r="V11" s="20">
        <f>IF(V6=0,0,V10/V6)</f>
        <v/>
      </c>
      <c r="W11" s="20">
        <f>IF(W6=0,0,W10/W6)</f>
        <v/>
      </c>
      <c r="X11" s="20">
        <f>IF(X6=0,0,X10/X6)</f>
        <v/>
      </c>
      <c r="Y11" s="20">
        <f>IF(Y6=0,0,Y10/Y6)</f>
        <v/>
      </c>
      <c r="Z11" s="15">
        <f>IF(Z6=0,0,Z10/Z6)</f>
        <v/>
      </c>
      <c r="AA11" s="15">
        <f>IF(AA6=0,0,AA10/AA6)</f>
        <v/>
      </c>
    </row>
    <row r="12">
      <c r="A12" s="9" t="inlineStr">
        <is>
          <t>Comisiones de cobro</t>
        </is>
      </c>
      <c r="B12" s="21">
        <f>-B6*Supuestos!$B$23</f>
        <v/>
      </c>
      <c r="C12" s="21">
        <f>-C6*Supuestos!$B$23</f>
        <v/>
      </c>
      <c r="D12" s="21">
        <f>-D6*Supuestos!$B$23</f>
        <v/>
      </c>
      <c r="E12" s="21">
        <f>-E6*Supuestos!$B$23</f>
        <v/>
      </c>
      <c r="F12" s="21">
        <f>-F6*Supuestos!$B$23</f>
        <v/>
      </c>
      <c r="G12" s="21">
        <f>-G6*Supuestos!$B$23</f>
        <v/>
      </c>
      <c r="H12" s="21">
        <f>-H6*Supuestos!$B$23</f>
        <v/>
      </c>
      <c r="I12" s="21">
        <f>-I6*Supuestos!$B$23</f>
        <v/>
      </c>
      <c r="J12" s="21">
        <f>-J6*Supuestos!$B$23</f>
        <v/>
      </c>
      <c r="K12" s="21">
        <f>-K6*Supuestos!$B$23</f>
        <v/>
      </c>
      <c r="L12" s="21">
        <f>-L6*Supuestos!$B$23</f>
        <v/>
      </c>
      <c r="M12" s="21">
        <f>-M6*Supuestos!$B$23</f>
        <v/>
      </c>
      <c r="N12" s="21">
        <f>-N6*Supuestos!$B$23</f>
        <v/>
      </c>
      <c r="O12" s="21">
        <f>-O6*Supuestos!$B$23</f>
        <v/>
      </c>
      <c r="P12" s="21">
        <f>-P6*Supuestos!$B$23</f>
        <v/>
      </c>
      <c r="Q12" s="21">
        <f>-Q6*Supuestos!$B$23</f>
        <v/>
      </c>
      <c r="R12" s="21">
        <f>-R6*Supuestos!$B$23</f>
        <v/>
      </c>
      <c r="S12" s="21">
        <f>-S6*Supuestos!$B$23</f>
        <v/>
      </c>
      <c r="T12" s="21">
        <f>-T6*Supuestos!$B$23</f>
        <v/>
      </c>
      <c r="U12" s="21">
        <f>-U6*Supuestos!$B$23</f>
        <v/>
      </c>
      <c r="V12" s="21">
        <f>-V6*Supuestos!$B$23</f>
        <v/>
      </c>
      <c r="W12" s="21">
        <f>-W6*Supuestos!$B$23</f>
        <v/>
      </c>
      <c r="X12" s="21">
        <f>-X6*Supuestos!$B$23</f>
        <v/>
      </c>
      <c r="Y12" s="21">
        <f>-Y6*Supuestos!$B$23</f>
        <v/>
      </c>
      <c r="Z12" s="22">
        <f>SUM(B12:M12)</f>
        <v/>
      </c>
      <c r="AA12" s="22">
        <f>SUM(N12:Y12)</f>
        <v/>
      </c>
    </row>
    <row r="13">
      <c r="A13" s="9" t="inlineStr">
        <is>
          <t>Ingresos Brutos</t>
        </is>
      </c>
      <c r="B13" s="21">
        <f>-B6*Supuestos!$B$24</f>
        <v/>
      </c>
      <c r="C13" s="21">
        <f>-C6*Supuestos!$B$24</f>
        <v/>
      </c>
      <c r="D13" s="21">
        <f>-D6*Supuestos!$B$24</f>
        <v/>
      </c>
      <c r="E13" s="21">
        <f>-E6*Supuestos!$B$24</f>
        <v/>
      </c>
      <c r="F13" s="21">
        <f>-F6*Supuestos!$B$24</f>
        <v/>
      </c>
      <c r="G13" s="21">
        <f>-G6*Supuestos!$B$24</f>
        <v/>
      </c>
      <c r="H13" s="21">
        <f>-H6*Supuestos!$B$24</f>
        <v/>
      </c>
      <c r="I13" s="21">
        <f>-I6*Supuestos!$B$24</f>
        <v/>
      </c>
      <c r="J13" s="21">
        <f>-J6*Supuestos!$B$24</f>
        <v/>
      </c>
      <c r="K13" s="21">
        <f>-K6*Supuestos!$B$24</f>
        <v/>
      </c>
      <c r="L13" s="21">
        <f>-L6*Supuestos!$B$24</f>
        <v/>
      </c>
      <c r="M13" s="21">
        <f>-M6*Supuestos!$B$24</f>
        <v/>
      </c>
      <c r="N13" s="21">
        <f>-N6*Supuestos!$B$24</f>
        <v/>
      </c>
      <c r="O13" s="21">
        <f>-O6*Supuestos!$B$24</f>
        <v/>
      </c>
      <c r="P13" s="21">
        <f>-P6*Supuestos!$B$24</f>
        <v/>
      </c>
      <c r="Q13" s="21">
        <f>-Q6*Supuestos!$B$24</f>
        <v/>
      </c>
      <c r="R13" s="21">
        <f>-R6*Supuestos!$B$24</f>
        <v/>
      </c>
      <c r="S13" s="21">
        <f>-S6*Supuestos!$B$24</f>
        <v/>
      </c>
      <c r="T13" s="21">
        <f>-T6*Supuestos!$B$24</f>
        <v/>
      </c>
      <c r="U13" s="21">
        <f>-U6*Supuestos!$B$24</f>
        <v/>
      </c>
      <c r="V13" s="21">
        <f>-V6*Supuestos!$B$24</f>
        <v/>
      </c>
      <c r="W13" s="21">
        <f>-W6*Supuestos!$B$24</f>
        <v/>
      </c>
      <c r="X13" s="21">
        <f>-X6*Supuestos!$B$24</f>
        <v/>
      </c>
      <c r="Y13" s="21">
        <f>-Y6*Supuestos!$B$24</f>
        <v/>
      </c>
      <c r="Z13" s="22">
        <f>SUM(B13:M13)</f>
        <v/>
      </c>
      <c r="AA13" s="22">
        <f>SUM(N13:Y13)</f>
        <v/>
      </c>
    </row>
    <row r="14">
      <c r="A14" s="9" t="inlineStr">
        <is>
          <t>Estructura fija</t>
        </is>
      </c>
      <c r="B14" s="21">
        <f>-Supuestos!$B$46</f>
        <v/>
      </c>
      <c r="C14" s="21">
        <f>-Supuestos!$B$46</f>
        <v/>
      </c>
      <c r="D14" s="21">
        <f>-Supuestos!$B$46</f>
        <v/>
      </c>
      <c r="E14" s="21">
        <f>-Supuestos!$B$46</f>
        <v/>
      </c>
      <c r="F14" s="21">
        <f>-Supuestos!$B$46</f>
        <v/>
      </c>
      <c r="G14" s="21">
        <f>-Supuestos!$B$46</f>
        <v/>
      </c>
      <c r="H14" s="21">
        <f>-Supuestos!$B$46</f>
        <v/>
      </c>
      <c r="I14" s="21">
        <f>-Supuestos!$B$46</f>
        <v/>
      </c>
      <c r="J14" s="21">
        <f>-Supuestos!$B$46</f>
        <v/>
      </c>
      <c r="K14" s="21">
        <f>-Supuestos!$B$46</f>
        <v/>
      </c>
      <c r="L14" s="21">
        <f>-Supuestos!$B$46</f>
        <v/>
      </c>
      <c r="M14" s="21">
        <f>-Supuestos!$B$46</f>
        <v/>
      </c>
      <c r="N14" s="21">
        <f>-Supuestos!$B$46</f>
        <v/>
      </c>
      <c r="O14" s="21">
        <f>-Supuestos!$B$46</f>
        <v/>
      </c>
      <c r="P14" s="21">
        <f>-Supuestos!$B$46</f>
        <v/>
      </c>
      <c r="Q14" s="21">
        <f>-Supuestos!$B$46</f>
        <v/>
      </c>
      <c r="R14" s="21">
        <f>-Supuestos!$B$46</f>
        <v/>
      </c>
      <c r="S14" s="21">
        <f>-Supuestos!$B$46</f>
        <v/>
      </c>
      <c r="T14" s="21">
        <f>-Supuestos!$B$46</f>
        <v/>
      </c>
      <c r="U14" s="21">
        <f>-Supuestos!$B$46</f>
        <v/>
      </c>
      <c r="V14" s="21">
        <f>-Supuestos!$B$46</f>
        <v/>
      </c>
      <c r="W14" s="21">
        <f>-Supuestos!$B$46</f>
        <v/>
      </c>
      <c r="X14" s="21">
        <f>-Supuestos!$B$46</f>
        <v/>
      </c>
      <c r="Y14" s="21">
        <f>-Supuestos!$B$46</f>
        <v/>
      </c>
      <c r="Z14" s="22">
        <f>SUM(B14:M14)</f>
        <v/>
      </c>
      <c r="AA14" s="22">
        <f>SUM(N14:Y14)</f>
        <v/>
      </c>
    </row>
    <row r="15">
      <c r="A15" s="9" t="inlineStr">
        <is>
          <t>Marketing</t>
        </is>
      </c>
      <c r="B15" s="21">
        <f>-Supuestos!B$51</f>
        <v/>
      </c>
      <c r="C15" s="21">
        <f>-Supuestos!C$51</f>
        <v/>
      </c>
      <c r="D15" s="21">
        <f>-Supuestos!D$51</f>
        <v/>
      </c>
      <c r="E15" s="21">
        <f>-Supuestos!E$51</f>
        <v/>
      </c>
      <c r="F15" s="21">
        <f>-Supuestos!F$51</f>
        <v/>
      </c>
      <c r="G15" s="21">
        <f>-Supuestos!G$51</f>
        <v/>
      </c>
      <c r="H15" s="21">
        <f>-Supuestos!H$51</f>
        <v/>
      </c>
      <c r="I15" s="21">
        <f>-Supuestos!I$51</f>
        <v/>
      </c>
      <c r="J15" s="21">
        <f>-Supuestos!J$51</f>
        <v/>
      </c>
      <c r="K15" s="21">
        <f>-Supuestos!K$51</f>
        <v/>
      </c>
      <c r="L15" s="21">
        <f>-Supuestos!L$51</f>
        <v/>
      </c>
      <c r="M15" s="21">
        <f>-Supuestos!M$51</f>
        <v/>
      </c>
      <c r="N15" s="21">
        <f>-Supuestos!N$51</f>
        <v/>
      </c>
      <c r="O15" s="21">
        <f>-Supuestos!O$51</f>
        <v/>
      </c>
      <c r="P15" s="21">
        <f>-Supuestos!P$51</f>
        <v/>
      </c>
      <c r="Q15" s="21">
        <f>-Supuestos!Q$51</f>
        <v/>
      </c>
      <c r="R15" s="21">
        <f>-Supuestos!R$51</f>
        <v/>
      </c>
      <c r="S15" s="21">
        <f>-Supuestos!S$51</f>
        <v/>
      </c>
      <c r="T15" s="21">
        <f>-Supuestos!T$51</f>
        <v/>
      </c>
      <c r="U15" s="21">
        <f>-Supuestos!U$51</f>
        <v/>
      </c>
      <c r="V15" s="21">
        <f>-Supuestos!V$51</f>
        <v/>
      </c>
      <c r="W15" s="21">
        <f>-Supuestos!W$51</f>
        <v/>
      </c>
      <c r="X15" s="21">
        <f>-Supuestos!X$51</f>
        <v/>
      </c>
      <c r="Y15" s="21">
        <f>-Supuestos!Y$51</f>
        <v/>
      </c>
      <c r="Z15" s="22">
        <f>SUM(B15:M15)</f>
        <v/>
      </c>
      <c r="AA15" s="22">
        <f>SUM(N15:Y15)</f>
        <v/>
      </c>
    </row>
    <row r="16">
      <c r="A16" s="9" t="inlineStr">
        <is>
          <t>Técnico en dependencia</t>
        </is>
      </c>
      <c r="B16" s="21">
        <f>IF(1&gt;=Supuestos!$B$35,-Supuestos!$B$34,0)</f>
        <v/>
      </c>
      <c r="C16" s="21">
        <f>IF(2&gt;=Supuestos!$B$35,-Supuestos!$B$34,0)</f>
        <v/>
      </c>
      <c r="D16" s="21">
        <f>IF(3&gt;=Supuestos!$B$35,-Supuestos!$B$34,0)</f>
        <v/>
      </c>
      <c r="E16" s="21">
        <f>IF(4&gt;=Supuestos!$B$35,-Supuestos!$B$34,0)</f>
        <v/>
      </c>
      <c r="F16" s="21">
        <f>IF(5&gt;=Supuestos!$B$35,-Supuestos!$B$34,0)</f>
        <v/>
      </c>
      <c r="G16" s="21">
        <f>IF(6&gt;=Supuestos!$B$35,-Supuestos!$B$34,0)</f>
        <v/>
      </c>
      <c r="H16" s="21">
        <f>IF(7&gt;=Supuestos!$B$35,-Supuestos!$B$34,0)</f>
        <v/>
      </c>
      <c r="I16" s="21">
        <f>IF(8&gt;=Supuestos!$B$35,-Supuestos!$B$34,0)</f>
        <v/>
      </c>
      <c r="J16" s="21">
        <f>IF(9&gt;=Supuestos!$B$35,-Supuestos!$B$34,0)</f>
        <v/>
      </c>
      <c r="K16" s="21">
        <f>IF(10&gt;=Supuestos!$B$35,-Supuestos!$B$34,0)</f>
        <v/>
      </c>
      <c r="L16" s="21">
        <f>IF(11&gt;=Supuestos!$B$35,-Supuestos!$B$34,0)</f>
        <v/>
      </c>
      <c r="M16" s="21">
        <f>IF(12&gt;=Supuestos!$B$35,-Supuestos!$B$34,0)</f>
        <v/>
      </c>
      <c r="N16" s="21">
        <f>IF(13&gt;=Supuestos!$B$35,-Supuestos!$B$34,0)</f>
        <v/>
      </c>
      <c r="O16" s="21">
        <f>IF(14&gt;=Supuestos!$B$35,-Supuestos!$B$34,0)</f>
        <v/>
      </c>
      <c r="P16" s="21">
        <f>IF(15&gt;=Supuestos!$B$35,-Supuestos!$B$34,0)</f>
        <v/>
      </c>
      <c r="Q16" s="21">
        <f>IF(16&gt;=Supuestos!$B$35,-Supuestos!$B$34,0)</f>
        <v/>
      </c>
      <c r="R16" s="21">
        <f>IF(17&gt;=Supuestos!$B$35,-Supuestos!$B$34,0)</f>
        <v/>
      </c>
      <c r="S16" s="21">
        <f>IF(18&gt;=Supuestos!$B$35,-Supuestos!$B$34,0)</f>
        <v/>
      </c>
      <c r="T16" s="21">
        <f>IF(19&gt;=Supuestos!$B$35,-Supuestos!$B$34,0)</f>
        <v/>
      </c>
      <c r="U16" s="21">
        <f>IF(20&gt;=Supuestos!$B$35,-Supuestos!$B$34,0)</f>
        <v/>
      </c>
      <c r="V16" s="21">
        <f>IF(21&gt;=Supuestos!$B$35,-Supuestos!$B$34,0)</f>
        <v/>
      </c>
      <c r="W16" s="21">
        <f>IF(22&gt;=Supuestos!$B$35,-Supuestos!$B$34,0)</f>
        <v/>
      </c>
      <c r="X16" s="21">
        <f>IF(23&gt;=Supuestos!$B$35,-Supuestos!$B$34,0)</f>
        <v/>
      </c>
      <c r="Y16" s="21">
        <f>IF(24&gt;=Supuestos!$B$35,-Supuestos!$B$34,0)</f>
        <v/>
      </c>
      <c r="Z16" s="22">
        <f>SUM(B16:M16)</f>
        <v/>
      </c>
      <c r="AA16" s="22">
        <f>SUM(N16:Y16)</f>
        <v/>
      </c>
    </row>
    <row r="17">
      <c r="A17" s="11" t="inlineStr">
        <is>
          <t>RESULTADO OPERATIVO</t>
        </is>
      </c>
      <c r="B17" s="22">
        <f>B10+SUM(B12:B16)</f>
        <v/>
      </c>
      <c r="C17" s="22">
        <f>C10+SUM(C12:C16)</f>
        <v/>
      </c>
      <c r="D17" s="22">
        <f>D10+SUM(D12:D16)</f>
        <v/>
      </c>
      <c r="E17" s="22">
        <f>E10+SUM(E12:E16)</f>
        <v/>
      </c>
      <c r="F17" s="22">
        <f>F10+SUM(F12:F16)</f>
        <v/>
      </c>
      <c r="G17" s="22">
        <f>G10+SUM(G12:G16)</f>
        <v/>
      </c>
      <c r="H17" s="22">
        <f>H10+SUM(H12:H16)</f>
        <v/>
      </c>
      <c r="I17" s="22">
        <f>I10+SUM(I12:I16)</f>
        <v/>
      </c>
      <c r="J17" s="22">
        <f>J10+SUM(J12:J16)</f>
        <v/>
      </c>
      <c r="K17" s="22">
        <f>K10+SUM(K12:K16)</f>
        <v/>
      </c>
      <c r="L17" s="22">
        <f>L10+SUM(L12:L16)</f>
        <v/>
      </c>
      <c r="M17" s="22">
        <f>M10+SUM(M12:M16)</f>
        <v/>
      </c>
      <c r="N17" s="22">
        <f>N10+SUM(N12:N16)</f>
        <v/>
      </c>
      <c r="O17" s="22">
        <f>O10+SUM(O12:O16)</f>
        <v/>
      </c>
      <c r="P17" s="22">
        <f>P10+SUM(P12:P16)</f>
        <v/>
      </c>
      <c r="Q17" s="22">
        <f>Q10+SUM(Q12:Q16)</f>
        <v/>
      </c>
      <c r="R17" s="22">
        <f>R10+SUM(R12:R16)</f>
        <v/>
      </c>
      <c r="S17" s="22">
        <f>S10+SUM(S12:S16)</f>
        <v/>
      </c>
      <c r="T17" s="22">
        <f>T10+SUM(T12:T16)</f>
        <v/>
      </c>
      <c r="U17" s="22">
        <f>U10+SUM(U12:U16)</f>
        <v/>
      </c>
      <c r="V17" s="22">
        <f>V10+SUM(V12:V16)</f>
        <v/>
      </c>
      <c r="W17" s="22">
        <f>W10+SUM(W12:W16)</f>
        <v/>
      </c>
      <c r="X17" s="22">
        <f>X10+SUM(X12:X16)</f>
        <v/>
      </c>
      <c r="Y17" s="22">
        <f>Y10+SUM(Y12:Y16)</f>
        <v/>
      </c>
      <c r="Z17" s="22">
        <f>SUM(B17:M17)</f>
        <v/>
      </c>
      <c r="AA17" s="22">
        <f>SUM(N17:Y17)</f>
        <v/>
      </c>
    </row>
    <row r="19">
      <c r="A19" s="7" t="inlineStr">
        <is>
          <t>Impuesto a las ganancias</t>
        </is>
      </c>
      <c r="B19" s="9" t="inlineStr">
        <is>
          <t>devengado al cierre de cada año</t>
        </is>
      </c>
      <c r="Z19" s="22">
        <f>-IF(Z17&lt;=0,0,IF(Z17&lt;=Supuestos!$B$30,Z17*Supuestos!$B$29,IF(Z17&lt;=Supuestos!$B$32,Supuestos!$B$30*Supuestos!$B$29+(Z17-Supuestos!$B$30)*Supuestos!$B$31,Supuestos!$B$30*Supuestos!$B$29+(Supuestos!$B$32-Supuestos!$B$30)*Supuestos!$B$31+(Z17-Supuestos!$B$32)*Supuestos!$B$33)))</f>
        <v/>
      </c>
      <c r="AA19" s="22">
        <f>-IF(AA17&lt;=0,0,IF(AA17&lt;=Supuestos!$B$30,AA17*Supuestos!$B$29,IF(AA17&lt;=Supuestos!$B$32,Supuestos!$B$30*Supuestos!$B$29+(AA17-Supuestos!$B$30)*Supuestos!$B$31,Supuestos!$B$30*Supuestos!$B$29+(Supuestos!$B$32-Supuestos!$B$30)*Supuestos!$B$31+(AA17-Supuestos!$B$32)*Supuestos!$B$33)))</f>
        <v/>
      </c>
    </row>
    <row r="20">
      <c r="A20" s="11" t="inlineStr">
        <is>
          <t>RESULTADO NETO</t>
        </is>
      </c>
      <c r="Z20" s="22">
        <f>Z17+Z19</f>
        <v/>
      </c>
      <c r="AA20" s="22">
        <f>AA17+AA19</f>
        <v/>
      </c>
    </row>
    <row r="21">
      <c r="A21" s="7" t="inlineStr">
        <is>
          <t>Resultado neto en euros</t>
        </is>
      </c>
      <c r="Z21" s="19">
        <f>Z20/Supuestos!$B$5</f>
        <v/>
      </c>
      <c r="AA21" s="19">
        <f>AA20/Supuestos!$B$5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Flujo de caja mensual</t>
        </is>
      </c>
    </row>
    <row r="2">
      <c r="A2" s="6" t="inlineStr">
        <is>
          <t>El cliente paga seña al firmar y saldo al terminar; el mayorista cobra contado. Ese descalce es lo que consume el capital de trabajo.</t>
        </is>
      </c>
    </row>
    <row r="4">
      <c r="A4" s="13" t="inlineStr">
        <is>
          <t>Concepto</t>
        </is>
      </c>
      <c r="B4" s="13" t="inlineStr">
        <is>
          <t>sep-26</t>
        </is>
      </c>
      <c r="C4" s="13" t="inlineStr">
        <is>
          <t>oct-26</t>
        </is>
      </c>
      <c r="D4" s="13" t="inlineStr">
        <is>
          <t>nov-26</t>
        </is>
      </c>
      <c r="E4" s="13" t="inlineStr">
        <is>
          <t>dic-26</t>
        </is>
      </c>
      <c r="F4" s="13" t="inlineStr">
        <is>
          <t>ene-27</t>
        </is>
      </c>
      <c r="G4" s="13" t="inlineStr">
        <is>
          <t>feb-27</t>
        </is>
      </c>
      <c r="H4" s="13" t="inlineStr">
        <is>
          <t>mar-27</t>
        </is>
      </c>
      <c r="I4" s="13" t="inlineStr">
        <is>
          <t>abr-27</t>
        </is>
      </c>
      <c r="J4" s="13" t="inlineStr">
        <is>
          <t>may-27</t>
        </is>
      </c>
      <c r="K4" s="13" t="inlineStr">
        <is>
          <t>jun-27</t>
        </is>
      </c>
      <c r="L4" s="13" t="inlineStr">
        <is>
          <t>jul-27</t>
        </is>
      </c>
      <c r="M4" s="13" t="inlineStr">
        <is>
          <t>ago-27</t>
        </is>
      </c>
      <c r="N4" s="13" t="inlineStr">
        <is>
          <t>sep-27</t>
        </is>
      </c>
      <c r="O4" s="13" t="inlineStr">
        <is>
          <t>oct-27</t>
        </is>
      </c>
      <c r="P4" s="13" t="inlineStr">
        <is>
          <t>nov-27</t>
        </is>
      </c>
      <c r="Q4" s="13" t="inlineStr">
        <is>
          <t>dic-27</t>
        </is>
      </c>
      <c r="R4" s="13" t="inlineStr">
        <is>
          <t>ene-28</t>
        </is>
      </c>
      <c r="S4" s="13" t="inlineStr">
        <is>
          <t>feb-28</t>
        </is>
      </c>
      <c r="T4" s="13" t="inlineStr">
        <is>
          <t>mar-28</t>
        </is>
      </c>
      <c r="U4" s="13" t="inlineStr">
        <is>
          <t>abr-28</t>
        </is>
      </c>
      <c r="V4" s="13" t="inlineStr">
        <is>
          <t>may-28</t>
        </is>
      </c>
      <c r="W4" s="13" t="inlineStr">
        <is>
          <t>jun-28</t>
        </is>
      </c>
      <c r="X4" s="13" t="inlineStr">
        <is>
          <t>jul-28</t>
        </is>
      </c>
      <c r="Y4" s="13" t="inlineStr">
        <is>
          <t>ago-28</t>
        </is>
      </c>
    </row>
    <row r="5">
      <c r="A5" s="7" t="inlineStr">
        <is>
          <t>Saldo inicial</t>
        </is>
      </c>
      <c r="B5" s="18">
        <f>Supuestos!$B$36</f>
        <v/>
      </c>
      <c r="C5" s="18">
        <f>B16</f>
        <v/>
      </c>
      <c r="D5" s="18">
        <f>C16</f>
        <v/>
      </c>
      <c r="E5" s="18">
        <f>D16</f>
        <v/>
      </c>
      <c r="F5" s="18">
        <f>E16</f>
        <v/>
      </c>
      <c r="G5" s="18">
        <f>F16</f>
        <v/>
      </c>
      <c r="H5" s="18">
        <f>G16</f>
        <v/>
      </c>
      <c r="I5" s="18">
        <f>H16</f>
        <v/>
      </c>
      <c r="J5" s="18">
        <f>I16</f>
        <v/>
      </c>
      <c r="K5" s="18">
        <f>J16</f>
        <v/>
      </c>
      <c r="L5" s="18">
        <f>K16</f>
        <v/>
      </c>
      <c r="M5" s="18">
        <f>L16</f>
        <v/>
      </c>
      <c r="N5" s="18">
        <f>M16</f>
        <v/>
      </c>
      <c r="O5" s="18">
        <f>N16</f>
        <v/>
      </c>
      <c r="P5" s="18">
        <f>O16</f>
        <v/>
      </c>
      <c r="Q5" s="18">
        <f>P16</f>
        <v/>
      </c>
      <c r="R5" s="18">
        <f>Q16</f>
        <v/>
      </c>
      <c r="S5" s="18">
        <f>R16</f>
        <v/>
      </c>
      <c r="T5" s="18">
        <f>S16</f>
        <v/>
      </c>
      <c r="U5" s="18">
        <f>T16</f>
        <v/>
      </c>
      <c r="V5" s="18">
        <f>U16</f>
        <v/>
      </c>
      <c r="W5" s="18">
        <f>V16</f>
        <v/>
      </c>
      <c r="X5" s="18">
        <f>W16</f>
        <v/>
      </c>
      <c r="Y5" s="18">
        <f>X16</f>
        <v/>
      </c>
    </row>
    <row r="6">
      <c r="A6" s="9" t="inlineStr">
        <is>
          <t>Cobro de señas del mes</t>
        </is>
      </c>
      <c r="B6" s="21">
        <f>'P&amp;L 24 meses'!B6*Supuestos!$B$26</f>
        <v/>
      </c>
      <c r="C6" s="21">
        <f>'P&amp;L 24 meses'!C6*Supuestos!$B$26</f>
        <v/>
      </c>
      <c r="D6" s="21">
        <f>'P&amp;L 24 meses'!D6*Supuestos!$B$26</f>
        <v/>
      </c>
      <c r="E6" s="21">
        <f>'P&amp;L 24 meses'!E6*Supuestos!$B$26</f>
        <v/>
      </c>
      <c r="F6" s="21">
        <f>'P&amp;L 24 meses'!F6*Supuestos!$B$26</f>
        <v/>
      </c>
      <c r="G6" s="21">
        <f>'P&amp;L 24 meses'!G6*Supuestos!$B$26</f>
        <v/>
      </c>
      <c r="H6" s="21">
        <f>'P&amp;L 24 meses'!H6*Supuestos!$B$26</f>
        <v/>
      </c>
      <c r="I6" s="21">
        <f>'P&amp;L 24 meses'!I6*Supuestos!$B$26</f>
        <v/>
      </c>
      <c r="J6" s="21">
        <f>'P&amp;L 24 meses'!J6*Supuestos!$B$26</f>
        <v/>
      </c>
      <c r="K6" s="21">
        <f>'P&amp;L 24 meses'!K6*Supuestos!$B$26</f>
        <v/>
      </c>
      <c r="L6" s="21">
        <f>'P&amp;L 24 meses'!L6*Supuestos!$B$26</f>
        <v/>
      </c>
      <c r="M6" s="21">
        <f>'P&amp;L 24 meses'!M6*Supuestos!$B$26</f>
        <v/>
      </c>
      <c r="N6" s="21">
        <f>'P&amp;L 24 meses'!N6*Supuestos!$B$26</f>
        <v/>
      </c>
      <c r="O6" s="21">
        <f>'P&amp;L 24 meses'!O6*Supuestos!$B$26</f>
        <v/>
      </c>
      <c r="P6" s="21">
        <f>'P&amp;L 24 meses'!P6*Supuestos!$B$26</f>
        <v/>
      </c>
      <c r="Q6" s="21">
        <f>'P&amp;L 24 meses'!Q6*Supuestos!$B$26</f>
        <v/>
      </c>
      <c r="R6" s="21">
        <f>'P&amp;L 24 meses'!R6*Supuestos!$B$26</f>
        <v/>
      </c>
      <c r="S6" s="21">
        <f>'P&amp;L 24 meses'!S6*Supuestos!$B$26</f>
        <v/>
      </c>
      <c r="T6" s="21">
        <f>'P&amp;L 24 meses'!T6*Supuestos!$B$26</f>
        <v/>
      </c>
      <c r="U6" s="21">
        <f>'P&amp;L 24 meses'!U6*Supuestos!$B$26</f>
        <v/>
      </c>
      <c r="V6" s="21">
        <f>'P&amp;L 24 meses'!V6*Supuestos!$B$26</f>
        <v/>
      </c>
      <c r="W6" s="21">
        <f>'P&amp;L 24 meses'!W6*Supuestos!$B$26</f>
        <v/>
      </c>
      <c r="X6" s="21">
        <f>'P&amp;L 24 meses'!X6*Supuestos!$B$26</f>
        <v/>
      </c>
      <c r="Y6" s="21">
        <f>'P&amp;L 24 meses'!Y6*Supuestos!$B$26</f>
        <v/>
      </c>
    </row>
    <row r="7">
      <c r="A7" s="9" t="inlineStr">
        <is>
          <t>Cobro de saldos del mes</t>
        </is>
      </c>
      <c r="B7" s="21">
        <f>'P&amp;L 24 meses'!B6*(1-Supuestos!$B$26)*(1-Supuestos!$B$27/30)</f>
        <v/>
      </c>
      <c r="C7" s="21">
        <f>'P&amp;L 24 meses'!C6*(1-Supuestos!$B$26)*(1-Supuestos!$B$27/30)</f>
        <v/>
      </c>
      <c r="D7" s="21">
        <f>'P&amp;L 24 meses'!D6*(1-Supuestos!$B$26)*(1-Supuestos!$B$27/30)</f>
        <v/>
      </c>
      <c r="E7" s="21">
        <f>'P&amp;L 24 meses'!E6*(1-Supuestos!$B$26)*(1-Supuestos!$B$27/30)</f>
        <v/>
      </c>
      <c r="F7" s="21">
        <f>'P&amp;L 24 meses'!F6*(1-Supuestos!$B$26)*(1-Supuestos!$B$27/30)</f>
        <v/>
      </c>
      <c r="G7" s="21">
        <f>'P&amp;L 24 meses'!G6*(1-Supuestos!$B$26)*(1-Supuestos!$B$27/30)</f>
        <v/>
      </c>
      <c r="H7" s="21">
        <f>'P&amp;L 24 meses'!H6*(1-Supuestos!$B$26)*(1-Supuestos!$B$27/30)</f>
        <v/>
      </c>
      <c r="I7" s="21">
        <f>'P&amp;L 24 meses'!I6*(1-Supuestos!$B$26)*(1-Supuestos!$B$27/30)</f>
        <v/>
      </c>
      <c r="J7" s="21">
        <f>'P&amp;L 24 meses'!J6*(1-Supuestos!$B$26)*(1-Supuestos!$B$27/30)</f>
        <v/>
      </c>
      <c r="K7" s="21">
        <f>'P&amp;L 24 meses'!K6*(1-Supuestos!$B$26)*(1-Supuestos!$B$27/30)</f>
        <v/>
      </c>
      <c r="L7" s="21">
        <f>'P&amp;L 24 meses'!L6*(1-Supuestos!$B$26)*(1-Supuestos!$B$27/30)</f>
        <v/>
      </c>
      <c r="M7" s="21">
        <f>'P&amp;L 24 meses'!M6*(1-Supuestos!$B$26)*(1-Supuestos!$B$27/30)</f>
        <v/>
      </c>
      <c r="N7" s="21">
        <f>'P&amp;L 24 meses'!N6*(1-Supuestos!$B$26)*(1-Supuestos!$B$27/30)</f>
        <v/>
      </c>
      <c r="O7" s="21">
        <f>'P&amp;L 24 meses'!O6*(1-Supuestos!$B$26)*(1-Supuestos!$B$27/30)</f>
        <v/>
      </c>
      <c r="P7" s="21">
        <f>'P&amp;L 24 meses'!P6*(1-Supuestos!$B$26)*(1-Supuestos!$B$27/30)</f>
        <v/>
      </c>
      <c r="Q7" s="21">
        <f>'P&amp;L 24 meses'!Q6*(1-Supuestos!$B$26)*(1-Supuestos!$B$27/30)</f>
        <v/>
      </c>
      <c r="R7" s="21">
        <f>'P&amp;L 24 meses'!R6*(1-Supuestos!$B$26)*(1-Supuestos!$B$27/30)</f>
        <v/>
      </c>
      <c r="S7" s="21">
        <f>'P&amp;L 24 meses'!S6*(1-Supuestos!$B$26)*(1-Supuestos!$B$27/30)</f>
        <v/>
      </c>
      <c r="T7" s="21">
        <f>'P&amp;L 24 meses'!T6*(1-Supuestos!$B$26)*(1-Supuestos!$B$27/30)</f>
        <v/>
      </c>
      <c r="U7" s="21">
        <f>'P&amp;L 24 meses'!U6*(1-Supuestos!$B$26)*(1-Supuestos!$B$27/30)</f>
        <v/>
      </c>
      <c r="V7" s="21">
        <f>'P&amp;L 24 meses'!V6*(1-Supuestos!$B$26)*(1-Supuestos!$B$27/30)</f>
        <v/>
      </c>
      <c r="W7" s="21">
        <f>'P&amp;L 24 meses'!W6*(1-Supuestos!$B$26)*(1-Supuestos!$B$27/30)</f>
        <v/>
      </c>
      <c r="X7" s="21">
        <f>'P&amp;L 24 meses'!X6*(1-Supuestos!$B$26)*(1-Supuestos!$B$27/30)</f>
        <v/>
      </c>
      <c r="Y7" s="21">
        <f>'P&amp;L 24 meses'!Y6*(1-Supuestos!$B$26)*(1-Supuestos!$B$27/30)</f>
        <v/>
      </c>
    </row>
    <row r="8">
      <c r="A8" s="9" t="inlineStr">
        <is>
          <t>Cobro de saldos del mes anterior</t>
        </is>
      </c>
      <c r="B8" s="21" t="n">
        <v>0</v>
      </c>
      <c r="C8" s="21">
        <f>'P&amp;L 24 meses'!B6*(1-Supuestos!$B$26)*(Supuestos!$B$27/30)</f>
        <v/>
      </c>
      <c r="D8" s="21">
        <f>'P&amp;L 24 meses'!C6*(1-Supuestos!$B$26)*(Supuestos!$B$27/30)</f>
        <v/>
      </c>
      <c r="E8" s="21">
        <f>'P&amp;L 24 meses'!D6*(1-Supuestos!$B$26)*(Supuestos!$B$27/30)</f>
        <v/>
      </c>
      <c r="F8" s="21">
        <f>'P&amp;L 24 meses'!E6*(1-Supuestos!$B$26)*(Supuestos!$B$27/30)</f>
        <v/>
      </c>
      <c r="G8" s="21">
        <f>'P&amp;L 24 meses'!F6*(1-Supuestos!$B$26)*(Supuestos!$B$27/30)</f>
        <v/>
      </c>
      <c r="H8" s="21">
        <f>'P&amp;L 24 meses'!G6*(1-Supuestos!$B$26)*(Supuestos!$B$27/30)</f>
        <v/>
      </c>
      <c r="I8" s="21">
        <f>'P&amp;L 24 meses'!H6*(1-Supuestos!$B$26)*(Supuestos!$B$27/30)</f>
        <v/>
      </c>
      <c r="J8" s="21">
        <f>'P&amp;L 24 meses'!I6*(1-Supuestos!$B$26)*(Supuestos!$B$27/30)</f>
        <v/>
      </c>
      <c r="K8" s="21">
        <f>'P&amp;L 24 meses'!J6*(1-Supuestos!$B$26)*(Supuestos!$B$27/30)</f>
        <v/>
      </c>
      <c r="L8" s="21">
        <f>'P&amp;L 24 meses'!K6*(1-Supuestos!$B$26)*(Supuestos!$B$27/30)</f>
        <v/>
      </c>
      <c r="M8" s="21">
        <f>'P&amp;L 24 meses'!L6*(1-Supuestos!$B$26)*(Supuestos!$B$27/30)</f>
        <v/>
      </c>
      <c r="N8" s="21">
        <f>'P&amp;L 24 meses'!M6*(1-Supuestos!$B$26)*(Supuestos!$B$27/30)</f>
        <v/>
      </c>
      <c r="O8" s="21">
        <f>'P&amp;L 24 meses'!N6*(1-Supuestos!$B$26)*(Supuestos!$B$27/30)</f>
        <v/>
      </c>
      <c r="P8" s="21">
        <f>'P&amp;L 24 meses'!O6*(1-Supuestos!$B$26)*(Supuestos!$B$27/30)</f>
        <v/>
      </c>
      <c r="Q8" s="21">
        <f>'P&amp;L 24 meses'!P6*(1-Supuestos!$B$26)*(Supuestos!$B$27/30)</f>
        <v/>
      </c>
      <c r="R8" s="21">
        <f>'P&amp;L 24 meses'!Q6*(1-Supuestos!$B$26)*(Supuestos!$B$27/30)</f>
        <v/>
      </c>
      <c r="S8" s="21">
        <f>'P&amp;L 24 meses'!R6*(1-Supuestos!$B$26)*(Supuestos!$B$27/30)</f>
        <v/>
      </c>
      <c r="T8" s="21">
        <f>'P&amp;L 24 meses'!S6*(1-Supuestos!$B$26)*(Supuestos!$B$27/30)</f>
        <v/>
      </c>
      <c r="U8" s="21">
        <f>'P&amp;L 24 meses'!T6*(1-Supuestos!$B$26)*(Supuestos!$B$27/30)</f>
        <v/>
      </c>
      <c r="V8" s="21">
        <f>'P&amp;L 24 meses'!U6*(1-Supuestos!$B$26)*(Supuestos!$B$27/30)</f>
        <v/>
      </c>
      <c r="W8" s="21">
        <f>'P&amp;L 24 meses'!V6*(1-Supuestos!$B$26)*(Supuestos!$B$27/30)</f>
        <v/>
      </c>
      <c r="X8" s="21">
        <f>'P&amp;L 24 meses'!W6*(1-Supuestos!$B$26)*(Supuestos!$B$27/30)</f>
        <v/>
      </c>
      <c r="Y8" s="21">
        <f>'P&amp;L 24 meses'!X6*(1-Supuestos!$B$26)*(Supuestos!$B$27/30)</f>
        <v/>
      </c>
    </row>
    <row r="9">
      <c r="A9" s="11" t="inlineStr">
        <is>
          <t>TOTAL COBROS</t>
        </is>
      </c>
      <c r="B9" s="22">
        <f>SUM(B6:B8)</f>
        <v/>
      </c>
      <c r="C9" s="22">
        <f>SUM(C6:C8)</f>
        <v/>
      </c>
      <c r="D9" s="22">
        <f>SUM(D6:D8)</f>
        <v/>
      </c>
      <c r="E9" s="22">
        <f>SUM(E6:E8)</f>
        <v/>
      </c>
      <c r="F9" s="22">
        <f>SUM(F6:F8)</f>
        <v/>
      </c>
      <c r="G9" s="22">
        <f>SUM(G6:G8)</f>
        <v/>
      </c>
      <c r="H9" s="22">
        <f>SUM(H6:H8)</f>
        <v/>
      </c>
      <c r="I9" s="22">
        <f>SUM(I6:I8)</f>
        <v/>
      </c>
      <c r="J9" s="22">
        <f>SUM(J6:J8)</f>
        <v/>
      </c>
      <c r="K9" s="22">
        <f>SUM(K6:K8)</f>
        <v/>
      </c>
      <c r="L9" s="22">
        <f>SUM(L6:L8)</f>
        <v/>
      </c>
      <c r="M9" s="22">
        <f>SUM(M6:M8)</f>
        <v/>
      </c>
      <c r="N9" s="22">
        <f>SUM(N6:N8)</f>
        <v/>
      </c>
      <c r="O9" s="22">
        <f>SUM(O6:O8)</f>
        <v/>
      </c>
      <c r="P9" s="22">
        <f>SUM(P6:P8)</f>
        <v/>
      </c>
      <c r="Q9" s="22">
        <f>SUM(Q6:Q8)</f>
        <v/>
      </c>
      <c r="R9" s="22">
        <f>SUM(R6:R8)</f>
        <v/>
      </c>
      <c r="S9" s="22">
        <f>SUM(S6:S8)</f>
        <v/>
      </c>
      <c r="T9" s="22">
        <f>SUM(T6:T8)</f>
        <v/>
      </c>
      <c r="U9" s="22">
        <f>SUM(U6:U8)</f>
        <v/>
      </c>
      <c r="V9" s="22">
        <f>SUM(V6:V8)</f>
        <v/>
      </c>
      <c r="W9" s="22">
        <f>SUM(W6:W8)</f>
        <v/>
      </c>
      <c r="X9" s="22">
        <f>SUM(X6:X8)</f>
        <v/>
      </c>
      <c r="Y9" s="22">
        <f>SUM(Y6:Y8)</f>
        <v/>
      </c>
    </row>
    <row r="10">
      <c r="A10" s="9" t="inlineStr">
        <is>
          <t>Pagos operativos</t>
        </is>
      </c>
      <c r="B10" s="21">
        <f>-('P&amp;L 24 meses'!B7+'P&amp;L 24 meses'!B8+'P&amp;L 24 meses'!B9+'P&amp;L 24 meses'!B12+'P&amp;L 24 meses'!B13+'P&amp;L 24 meses'!B14+'P&amp;L 24 meses'!B15+'P&amp;L 24 meses'!B16)</f>
        <v/>
      </c>
      <c r="C10" s="21">
        <f>-('P&amp;L 24 meses'!C7+'P&amp;L 24 meses'!C8+'P&amp;L 24 meses'!C9+'P&amp;L 24 meses'!C12+'P&amp;L 24 meses'!C13+'P&amp;L 24 meses'!C14+'P&amp;L 24 meses'!C15+'P&amp;L 24 meses'!C16)</f>
        <v/>
      </c>
      <c r="D10" s="21">
        <f>-('P&amp;L 24 meses'!D7+'P&amp;L 24 meses'!D8+'P&amp;L 24 meses'!D9+'P&amp;L 24 meses'!D12+'P&amp;L 24 meses'!D13+'P&amp;L 24 meses'!D14+'P&amp;L 24 meses'!D15+'P&amp;L 24 meses'!D16)</f>
        <v/>
      </c>
      <c r="E10" s="21">
        <f>-('P&amp;L 24 meses'!E7+'P&amp;L 24 meses'!E8+'P&amp;L 24 meses'!E9+'P&amp;L 24 meses'!E12+'P&amp;L 24 meses'!E13+'P&amp;L 24 meses'!E14+'P&amp;L 24 meses'!E15+'P&amp;L 24 meses'!E16)</f>
        <v/>
      </c>
      <c r="F10" s="21">
        <f>-('P&amp;L 24 meses'!F7+'P&amp;L 24 meses'!F8+'P&amp;L 24 meses'!F9+'P&amp;L 24 meses'!F12+'P&amp;L 24 meses'!F13+'P&amp;L 24 meses'!F14+'P&amp;L 24 meses'!F15+'P&amp;L 24 meses'!F16)</f>
        <v/>
      </c>
      <c r="G10" s="21">
        <f>-('P&amp;L 24 meses'!G7+'P&amp;L 24 meses'!G8+'P&amp;L 24 meses'!G9+'P&amp;L 24 meses'!G12+'P&amp;L 24 meses'!G13+'P&amp;L 24 meses'!G14+'P&amp;L 24 meses'!G15+'P&amp;L 24 meses'!G16)</f>
        <v/>
      </c>
      <c r="H10" s="21">
        <f>-('P&amp;L 24 meses'!H7+'P&amp;L 24 meses'!H8+'P&amp;L 24 meses'!H9+'P&amp;L 24 meses'!H12+'P&amp;L 24 meses'!H13+'P&amp;L 24 meses'!H14+'P&amp;L 24 meses'!H15+'P&amp;L 24 meses'!H16)</f>
        <v/>
      </c>
      <c r="I10" s="21">
        <f>-('P&amp;L 24 meses'!I7+'P&amp;L 24 meses'!I8+'P&amp;L 24 meses'!I9+'P&amp;L 24 meses'!I12+'P&amp;L 24 meses'!I13+'P&amp;L 24 meses'!I14+'P&amp;L 24 meses'!I15+'P&amp;L 24 meses'!I16)</f>
        <v/>
      </c>
      <c r="J10" s="21">
        <f>-('P&amp;L 24 meses'!J7+'P&amp;L 24 meses'!J8+'P&amp;L 24 meses'!J9+'P&amp;L 24 meses'!J12+'P&amp;L 24 meses'!J13+'P&amp;L 24 meses'!J14+'P&amp;L 24 meses'!J15+'P&amp;L 24 meses'!J16)</f>
        <v/>
      </c>
      <c r="K10" s="21">
        <f>-('P&amp;L 24 meses'!K7+'P&amp;L 24 meses'!K8+'P&amp;L 24 meses'!K9+'P&amp;L 24 meses'!K12+'P&amp;L 24 meses'!K13+'P&amp;L 24 meses'!K14+'P&amp;L 24 meses'!K15+'P&amp;L 24 meses'!K16)</f>
        <v/>
      </c>
      <c r="L10" s="21">
        <f>-('P&amp;L 24 meses'!L7+'P&amp;L 24 meses'!L8+'P&amp;L 24 meses'!L9+'P&amp;L 24 meses'!L12+'P&amp;L 24 meses'!L13+'P&amp;L 24 meses'!L14+'P&amp;L 24 meses'!L15+'P&amp;L 24 meses'!L16)</f>
        <v/>
      </c>
      <c r="M10" s="21">
        <f>-('P&amp;L 24 meses'!M7+'P&amp;L 24 meses'!M8+'P&amp;L 24 meses'!M9+'P&amp;L 24 meses'!M12+'P&amp;L 24 meses'!M13+'P&amp;L 24 meses'!M14+'P&amp;L 24 meses'!M15+'P&amp;L 24 meses'!M16)</f>
        <v/>
      </c>
      <c r="N10" s="21">
        <f>-('P&amp;L 24 meses'!N7+'P&amp;L 24 meses'!N8+'P&amp;L 24 meses'!N9+'P&amp;L 24 meses'!N12+'P&amp;L 24 meses'!N13+'P&amp;L 24 meses'!N14+'P&amp;L 24 meses'!N15+'P&amp;L 24 meses'!N16)</f>
        <v/>
      </c>
      <c r="O10" s="21">
        <f>-('P&amp;L 24 meses'!O7+'P&amp;L 24 meses'!O8+'P&amp;L 24 meses'!O9+'P&amp;L 24 meses'!O12+'P&amp;L 24 meses'!O13+'P&amp;L 24 meses'!O14+'P&amp;L 24 meses'!O15+'P&amp;L 24 meses'!O16)</f>
        <v/>
      </c>
      <c r="P10" s="21">
        <f>-('P&amp;L 24 meses'!P7+'P&amp;L 24 meses'!P8+'P&amp;L 24 meses'!P9+'P&amp;L 24 meses'!P12+'P&amp;L 24 meses'!P13+'P&amp;L 24 meses'!P14+'P&amp;L 24 meses'!P15+'P&amp;L 24 meses'!P16)</f>
        <v/>
      </c>
      <c r="Q10" s="21">
        <f>-('P&amp;L 24 meses'!Q7+'P&amp;L 24 meses'!Q8+'P&amp;L 24 meses'!Q9+'P&amp;L 24 meses'!Q12+'P&amp;L 24 meses'!Q13+'P&amp;L 24 meses'!Q14+'P&amp;L 24 meses'!Q15+'P&amp;L 24 meses'!Q16)</f>
        <v/>
      </c>
      <c r="R10" s="21">
        <f>-('P&amp;L 24 meses'!R7+'P&amp;L 24 meses'!R8+'P&amp;L 24 meses'!R9+'P&amp;L 24 meses'!R12+'P&amp;L 24 meses'!R13+'P&amp;L 24 meses'!R14+'P&amp;L 24 meses'!R15+'P&amp;L 24 meses'!R16)</f>
        <v/>
      </c>
      <c r="S10" s="21">
        <f>-('P&amp;L 24 meses'!S7+'P&amp;L 24 meses'!S8+'P&amp;L 24 meses'!S9+'P&amp;L 24 meses'!S12+'P&amp;L 24 meses'!S13+'P&amp;L 24 meses'!S14+'P&amp;L 24 meses'!S15+'P&amp;L 24 meses'!S16)</f>
        <v/>
      </c>
      <c r="T10" s="21">
        <f>-('P&amp;L 24 meses'!T7+'P&amp;L 24 meses'!T8+'P&amp;L 24 meses'!T9+'P&amp;L 24 meses'!T12+'P&amp;L 24 meses'!T13+'P&amp;L 24 meses'!T14+'P&amp;L 24 meses'!T15+'P&amp;L 24 meses'!T16)</f>
        <v/>
      </c>
      <c r="U10" s="21">
        <f>-('P&amp;L 24 meses'!U7+'P&amp;L 24 meses'!U8+'P&amp;L 24 meses'!U9+'P&amp;L 24 meses'!U12+'P&amp;L 24 meses'!U13+'P&amp;L 24 meses'!U14+'P&amp;L 24 meses'!U15+'P&amp;L 24 meses'!U16)</f>
        <v/>
      </c>
      <c r="V10" s="21">
        <f>-('P&amp;L 24 meses'!V7+'P&amp;L 24 meses'!V8+'P&amp;L 24 meses'!V9+'P&amp;L 24 meses'!V12+'P&amp;L 24 meses'!V13+'P&amp;L 24 meses'!V14+'P&amp;L 24 meses'!V15+'P&amp;L 24 meses'!V16)</f>
        <v/>
      </c>
      <c r="W10" s="21">
        <f>-('P&amp;L 24 meses'!W7+'P&amp;L 24 meses'!W8+'P&amp;L 24 meses'!W9+'P&amp;L 24 meses'!W12+'P&amp;L 24 meses'!W13+'P&amp;L 24 meses'!W14+'P&amp;L 24 meses'!W15+'P&amp;L 24 meses'!W16)</f>
        <v/>
      </c>
      <c r="X10" s="21">
        <f>-('P&amp;L 24 meses'!X7+'P&amp;L 24 meses'!X8+'P&amp;L 24 meses'!X9+'P&amp;L 24 meses'!X12+'P&amp;L 24 meses'!X13+'P&amp;L 24 meses'!X14+'P&amp;L 24 meses'!X15+'P&amp;L 24 meses'!X16)</f>
        <v/>
      </c>
      <c r="Y10" s="21">
        <f>-('P&amp;L 24 meses'!Y7+'P&amp;L 24 meses'!Y8+'P&amp;L 24 meses'!Y9+'P&amp;L 24 meses'!Y12+'P&amp;L 24 meses'!Y13+'P&amp;L 24 meses'!Y14+'P&amp;L 24 meses'!Y15+'P&amp;L 24 meses'!Y16)</f>
        <v/>
      </c>
    </row>
    <row r="11">
      <c r="A11" s="9" t="inlineStr">
        <is>
          <t>Puesta en marcha (bloques A y B)</t>
        </is>
      </c>
      <c r="B11" s="21">
        <f>Supuestos!$B$37</f>
        <v/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</row>
    <row r="12">
      <c r="A12" s="11" t="inlineStr">
        <is>
          <t>TOTAL PAGOS</t>
        </is>
      </c>
      <c r="B12" s="22">
        <f>B10+B11</f>
        <v/>
      </c>
      <c r="C12" s="22">
        <f>C10+C11</f>
        <v/>
      </c>
      <c r="D12" s="22">
        <f>D10+D11</f>
        <v/>
      </c>
      <c r="E12" s="22">
        <f>E10+E11</f>
        <v/>
      </c>
      <c r="F12" s="22">
        <f>F10+F11</f>
        <v/>
      </c>
      <c r="G12" s="22">
        <f>G10+G11</f>
        <v/>
      </c>
      <c r="H12" s="22">
        <f>H10+H11</f>
        <v/>
      </c>
      <c r="I12" s="22">
        <f>I10+I11</f>
        <v/>
      </c>
      <c r="J12" s="22">
        <f>J10+J11</f>
        <v/>
      </c>
      <c r="K12" s="22">
        <f>K10+K11</f>
        <v/>
      </c>
      <c r="L12" s="22">
        <f>L10+L11</f>
        <v/>
      </c>
      <c r="M12" s="22">
        <f>M10+M11</f>
        <v/>
      </c>
      <c r="N12" s="22">
        <f>N10+N11</f>
        <v/>
      </c>
      <c r="O12" s="22">
        <f>O10+O11</f>
        <v/>
      </c>
      <c r="P12" s="22">
        <f>P10+P11</f>
        <v/>
      </c>
      <c r="Q12" s="22">
        <f>Q10+Q11</f>
        <v/>
      </c>
      <c r="R12" s="22">
        <f>R10+R11</f>
        <v/>
      </c>
      <c r="S12" s="22">
        <f>S10+S11</f>
        <v/>
      </c>
      <c r="T12" s="22">
        <f>T10+T11</f>
        <v/>
      </c>
      <c r="U12" s="22">
        <f>U10+U11</f>
        <v/>
      </c>
      <c r="V12" s="22">
        <f>V10+V11</f>
        <v/>
      </c>
      <c r="W12" s="22">
        <f>W10+W11</f>
        <v/>
      </c>
      <c r="X12" s="22">
        <f>X10+X11</f>
        <v/>
      </c>
      <c r="Y12" s="22">
        <f>Y10+Y11</f>
        <v/>
      </c>
    </row>
    <row r="13">
      <c r="A13" s="9" t="inlineStr">
        <is>
          <t>Impuesto al cheque</t>
        </is>
      </c>
      <c r="B13" s="21">
        <f>(B9+B12)*Supuestos!$B$28*0.5</f>
        <v/>
      </c>
      <c r="C13" s="21">
        <f>(C9+C12)*Supuestos!$B$28*0.5</f>
        <v/>
      </c>
      <c r="D13" s="21">
        <f>(D9+D12)*Supuestos!$B$28*0.5</f>
        <v/>
      </c>
      <c r="E13" s="21">
        <f>(E9+E12)*Supuestos!$B$28*0.5</f>
        <v/>
      </c>
      <c r="F13" s="21">
        <f>(F9+F12)*Supuestos!$B$28*0.5</f>
        <v/>
      </c>
      <c r="G13" s="21">
        <f>(G9+G12)*Supuestos!$B$28*0.5</f>
        <v/>
      </c>
      <c r="H13" s="21">
        <f>(H9+H12)*Supuestos!$B$28*0.5</f>
        <v/>
      </c>
      <c r="I13" s="21">
        <f>(I9+I12)*Supuestos!$B$28*0.5</f>
        <v/>
      </c>
      <c r="J13" s="21">
        <f>(J9+J12)*Supuestos!$B$28*0.5</f>
        <v/>
      </c>
      <c r="K13" s="21">
        <f>(K9+K12)*Supuestos!$B$28*0.5</f>
        <v/>
      </c>
      <c r="L13" s="21">
        <f>(L9+L12)*Supuestos!$B$28*0.5</f>
        <v/>
      </c>
      <c r="M13" s="21">
        <f>(M9+M12)*Supuestos!$B$28*0.5</f>
        <v/>
      </c>
      <c r="N13" s="21">
        <f>(N9+N12)*Supuestos!$B$28*0.5</f>
        <v/>
      </c>
      <c r="O13" s="21">
        <f>(O9+O12)*Supuestos!$B$28*0.5</f>
        <v/>
      </c>
      <c r="P13" s="21">
        <f>(P9+P12)*Supuestos!$B$28*0.5</f>
        <v/>
      </c>
      <c r="Q13" s="21">
        <f>(Q9+Q12)*Supuestos!$B$28*0.5</f>
        <v/>
      </c>
      <c r="R13" s="21">
        <f>(R9+R12)*Supuestos!$B$28*0.5</f>
        <v/>
      </c>
      <c r="S13" s="21">
        <f>(S9+S12)*Supuestos!$B$28*0.5</f>
        <v/>
      </c>
      <c r="T13" s="21">
        <f>(T9+T12)*Supuestos!$B$28*0.5</f>
        <v/>
      </c>
      <c r="U13" s="21">
        <f>(U9+U12)*Supuestos!$B$28*0.5</f>
        <v/>
      </c>
      <c r="V13" s="21">
        <f>(V9+V12)*Supuestos!$B$28*0.5</f>
        <v/>
      </c>
      <c r="W13" s="21">
        <f>(W9+W12)*Supuestos!$B$28*0.5</f>
        <v/>
      </c>
      <c r="X13" s="21">
        <f>(X9+X12)*Supuestos!$B$28*0.5</f>
        <v/>
      </c>
      <c r="Y13" s="21">
        <f>(Y9+Y12)*Supuestos!$B$28*0.5</f>
        <v/>
      </c>
    </row>
    <row r="14">
      <c r="A14" s="9" t="inlineStr">
        <is>
          <t>Pago de Ganancias (neto de pago a cuenta)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>
        <f>MAX(0,-'P&amp;L 24 meses'!Z19-SUM(B13:M13))</f>
        <v/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>
        <f>MAX(0,-'P&amp;L 24 meses'!AA19-SUM(N13:Y13))</f>
        <v/>
      </c>
    </row>
    <row r="15">
      <c r="A15" s="11" t="inlineStr">
        <is>
          <t>FLUJO NETO DEL MES</t>
        </is>
      </c>
      <c r="B15" s="22">
        <f>B9-B12-B13-B14</f>
        <v/>
      </c>
      <c r="C15" s="22">
        <f>C9-C12-C13-C14</f>
        <v/>
      </c>
      <c r="D15" s="22">
        <f>D9-D12-D13-D14</f>
        <v/>
      </c>
      <c r="E15" s="22">
        <f>E9-E12-E13-E14</f>
        <v/>
      </c>
      <c r="F15" s="22">
        <f>F9-F12-F13-F14</f>
        <v/>
      </c>
      <c r="G15" s="22">
        <f>G9-G12-G13-G14</f>
        <v/>
      </c>
      <c r="H15" s="22">
        <f>H9-H12-H13-H14</f>
        <v/>
      </c>
      <c r="I15" s="22">
        <f>I9-I12-I13-I14</f>
        <v/>
      </c>
      <c r="J15" s="22">
        <f>J9-J12-J13-J14</f>
        <v/>
      </c>
      <c r="K15" s="22">
        <f>K9-K12-K13-K14</f>
        <v/>
      </c>
      <c r="L15" s="22">
        <f>L9-L12-L13-L14</f>
        <v/>
      </c>
      <c r="M15" s="22">
        <f>M9-M12-M13-M14</f>
        <v/>
      </c>
      <c r="N15" s="22">
        <f>N9-N12-N13-N14</f>
        <v/>
      </c>
      <c r="O15" s="22">
        <f>O9-O12-O13-O14</f>
        <v/>
      </c>
      <c r="P15" s="22">
        <f>P9-P12-P13-P14</f>
        <v/>
      </c>
      <c r="Q15" s="22">
        <f>Q9-Q12-Q13-Q14</f>
        <v/>
      </c>
      <c r="R15" s="22">
        <f>R9-R12-R13-R14</f>
        <v/>
      </c>
      <c r="S15" s="22">
        <f>S9-S12-S13-S14</f>
        <v/>
      </c>
      <c r="T15" s="22">
        <f>T9-T12-T13-T14</f>
        <v/>
      </c>
      <c r="U15" s="22">
        <f>U9-U12-U13-U14</f>
        <v/>
      </c>
      <c r="V15" s="22">
        <f>V9-V12-V13-V14</f>
        <v/>
      </c>
      <c r="W15" s="22">
        <f>W9-W12-W13-W14</f>
        <v/>
      </c>
      <c r="X15" s="22">
        <f>X9-X12-X13-X14</f>
        <v/>
      </c>
      <c r="Y15" s="22">
        <f>Y9-Y12-Y13-Y14</f>
        <v/>
      </c>
    </row>
    <row r="16">
      <c r="A16" s="11" t="inlineStr">
        <is>
          <t>SALDO FINAL</t>
        </is>
      </c>
      <c r="B16" s="22">
        <f>B5+B15</f>
        <v/>
      </c>
      <c r="C16" s="22">
        <f>C5+C15</f>
        <v/>
      </c>
      <c r="D16" s="22">
        <f>D5+D15</f>
        <v/>
      </c>
      <c r="E16" s="22">
        <f>E5+E15</f>
        <v/>
      </c>
      <c r="F16" s="22">
        <f>F5+F15</f>
        <v/>
      </c>
      <c r="G16" s="22">
        <f>G5+G15</f>
        <v/>
      </c>
      <c r="H16" s="22">
        <f>H5+H15</f>
        <v/>
      </c>
      <c r="I16" s="22">
        <f>I5+I15</f>
        <v/>
      </c>
      <c r="J16" s="22">
        <f>J5+J15</f>
        <v/>
      </c>
      <c r="K16" s="22">
        <f>K5+K15</f>
        <v/>
      </c>
      <c r="L16" s="22">
        <f>L5+L15</f>
        <v/>
      </c>
      <c r="M16" s="22">
        <f>M5+M15</f>
        <v/>
      </c>
      <c r="N16" s="22">
        <f>N5+N15</f>
        <v/>
      </c>
      <c r="O16" s="22">
        <f>O5+O15</f>
        <v/>
      </c>
      <c r="P16" s="22">
        <f>P5+P15</f>
        <v/>
      </c>
      <c r="Q16" s="22">
        <f>Q5+Q15</f>
        <v/>
      </c>
      <c r="R16" s="22">
        <f>R5+R15</f>
        <v/>
      </c>
      <c r="S16" s="22">
        <f>S5+S15</f>
        <v/>
      </c>
      <c r="T16" s="22">
        <f>T5+T15</f>
        <v/>
      </c>
      <c r="U16" s="22">
        <f>U5+U15</f>
        <v/>
      </c>
      <c r="V16" s="22">
        <f>V5+V15</f>
        <v/>
      </c>
      <c r="W16" s="22">
        <f>W5+W15</f>
        <v/>
      </c>
      <c r="X16" s="22">
        <f>X5+X15</f>
        <v/>
      </c>
      <c r="Y16" s="22">
        <f>Y5+Y15</f>
        <v/>
      </c>
    </row>
    <row r="18">
      <c r="A18" s="7" t="inlineStr">
        <is>
          <t>Caja mínima del período</t>
        </is>
      </c>
      <c r="B18" s="18">
        <f>MIN(B16:Y16)</f>
        <v/>
      </c>
      <c r="C18" s="9">
        <f>INDEX(B4:Y4,MATCH(B18,B16:Y16,0))</f>
        <v/>
      </c>
      <c r="D18" s="7">
        <f>IF(B18&lt;0,"ALERTA: el capital no alcanza","OK: la caja nunca se agota")</f>
        <v/>
      </c>
    </row>
    <row r="19">
      <c r="A19" s="7" t="inlineStr">
        <is>
          <t>Caja al mes 24</t>
        </is>
      </c>
      <c r="B19" s="18">
        <f>Y16</f>
        <v/>
      </c>
    </row>
    <row r="20">
      <c r="A20" s="7" t="inlineStr">
        <is>
          <t>Recupero del aporte (primer mes con caja ≥ capital)</t>
        </is>
      </c>
      <c r="B20" s="7">
        <f>IFERROR(INDEX(B4:Y4,MATCH(TRUE,INDEX(B16:Y16&gt;=Supuestos!$B$36,0),0)),"no en 24 meses")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8" customWidth="1" min="4" max="4"/>
    <col width="52" customWidth="1" min="5" max="5"/>
  </cols>
  <sheetData>
    <row r="1">
      <c r="A1" s="1" t="inlineStr">
        <is>
          <t>Punto de equilibrio — cuántas obras hay que hacer</t>
        </is>
      </c>
    </row>
    <row r="2">
      <c r="A2" s="6" t="inlineStr">
        <is>
          <t>Obras/mes necesarias para cubrir cada nivel de estructura, con la contribución de la obra tipo.</t>
        </is>
      </c>
    </row>
    <row r="4">
      <c r="A4" s="13" t="inlineStr">
        <is>
          <t>Escenario de estructura</t>
        </is>
      </c>
      <c r="B4" s="13" t="inlineStr">
        <is>
          <t>Costo a cubrir / mes</t>
        </is>
      </c>
      <c r="C4" s="13" t="inlineStr">
        <is>
          <t>Contribución por obra</t>
        </is>
      </c>
      <c r="D4" s="13" t="inlineStr">
        <is>
          <t>Obras/mes</t>
        </is>
      </c>
      <c r="E4" s="13" t="inlineStr">
        <is>
          <t>Lectura</t>
        </is>
      </c>
    </row>
    <row r="5">
      <c r="A5" s="7" t="inlineStr">
        <is>
          <t>Solo estructura fija</t>
        </is>
      </c>
      <c r="B5" s="21">
        <f>Supuestos!$B$46</f>
        <v/>
      </c>
      <c r="C5" s="21">
        <f>'Unit economics'!$J$9</f>
        <v/>
      </c>
      <c r="D5" s="23">
        <f>IF(C5&lt;=0,"—",B5/C5)</f>
        <v/>
      </c>
      <c r="E5" s="9" t="inlineStr">
        <is>
          <t>Contador, stack, seguros, autónomos, movilidad y bancarios.</t>
        </is>
      </c>
    </row>
    <row r="6">
      <c r="A6" s="7" t="inlineStr">
        <is>
          <t>Estructura + marketing de valle</t>
        </is>
      </c>
      <c r="B6" s="21">
        <f>Supuestos!$B$46+MIN(Supuestos!B51:M51)</f>
        <v/>
      </c>
      <c r="C6" s="21">
        <f>'Unit economics'!$B$12</f>
        <v/>
      </c>
      <c r="D6" s="23">
        <f>IF(C6&lt;=0,"—",B6/C6)</f>
        <v/>
      </c>
      <c r="E6" s="9" t="inlineStr">
        <is>
          <t>Meses de invierno, con la pauta al mínimo.</t>
        </is>
      </c>
    </row>
    <row r="7">
      <c r="A7" s="7" t="inlineStr">
        <is>
          <t>Estructura + marketing de temporada</t>
        </is>
      </c>
      <c r="B7" s="21">
        <f>Supuestos!$B$46+MAX(Supuestos!B51:M51)</f>
        <v/>
      </c>
      <c r="C7" s="21">
        <f>'Unit economics'!$B$12</f>
        <v/>
      </c>
      <c r="D7" s="23">
        <f>IF(C7&lt;=0,"—",B7/C7)</f>
        <v/>
      </c>
      <c r="E7" s="9" t="inlineStr">
        <is>
          <t>Pico de diciembre-enero, con la pauta al máximo.</t>
        </is>
      </c>
    </row>
    <row r="8">
      <c r="A8" s="7" t="inlineStr">
        <is>
          <t>… + primer técnico en dependencia</t>
        </is>
      </c>
      <c r="B8" s="21">
        <f>Supuestos!$B$46+MAX(Supuestos!B51:M51)+Supuestos!$B$34</f>
        <v/>
      </c>
      <c r="C8" s="21">
        <f>'Unit economics'!$B$12</f>
        <v/>
      </c>
      <c r="D8" s="23">
        <f>IF(C8&lt;=0,"—",B8/C8)</f>
        <v/>
      </c>
      <c r="E8" s="9" t="inlineStr">
        <is>
          <t>Costo empleador completo (Rama 17 UOM + cargas + ART).</t>
        </is>
      </c>
    </row>
    <row r="10">
      <c r="A10" s="7" t="inlineStr">
        <is>
          <t>Facturación de equilibrio / mes (solo estructura)</t>
        </is>
      </c>
      <c r="B10" s="18">
        <f>IF('Unit economics'!$J$9=0,0,Supuestos!$B$46/('Unit economics'!$J$9/'Unit economics'!$C$9))</f>
        <v/>
      </c>
    </row>
    <row r="11">
      <c r="A11" s="7" t="inlineStr">
        <is>
          <t>Obras mínimas del mes valle proyectado</t>
        </is>
      </c>
      <c r="B11" s="23">
        <f>MIN(Supuestos!B50:M50)*Supuestos!$B$12</f>
        <v/>
      </c>
      <c r="E11" s="7">
        <f>IF(B11&gt;='Break-even'!$D$8,"El valle sostiene un técnico en planta","El valle NO sostiene un técnico en planta: subcontratar")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Escenarios — comparativa</t>
        </is>
      </c>
    </row>
    <row r="2">
      <c r="A2" s="6" t="inlineStr">
        <is>
          <t>Los tres escenarios se calculan cambiando Supuestos!B4. Esta hoja guarda el resultado del escenario activo en la columna correspondiente; para completarla, seleccioná cada escenario y copiá los valores.</t>
        </is>
      </c>
    </row>
    <row r="4">
      <c r="A4" s="13" t="inlineStr">
        <is>
          <t>Métrica</t>
        </is>
      </c>
      <c r="B4" s="13" t="inlineStr">
        <is>
          <t>Escenario activo</t>
        </is>
      </c>
      <c r="C4" s="13" t="inlineStr">
        <is>
          <t>Referencia del motor (base)</t>
        </is>
      </c>
      <c r="D4" s="13" t="inlineStr">
        <is>
          <t>Diferencia</t>
        </is>
      </c>
    </row>
    <row r="5">
      <c r="A5" s="7" t="inlineStr">
        <is>
          <t>Obras año 1</t>
        </is>
      </c>
      <c r="B5" s="25">
        <f>'P&amp;L 24 meses'!Z5</f>
        <v/>
      </c>
      <c r="C5" s="25" t="n">
        <v>161</v>
      </c>
      <c r="D5" s="20">
        <f>IF(C5=0,0,(B5-C5)/C5)</f>
        <v/>
      </c>
    </row>
    <row r="6">
      <c r="A6" s="7" t="inlineStr">
        <is>
          <t>Facturación año 1</t>
        </is>
      </c>
      <c r="B6" s="21">
        <f>'P&amp;L 24 meses'!Z6</f>
        <v/>
      </c>
      <c r="C6" s="21" t="n">
        <v>410952500</v>
      </c>
      <c r="D6" s="20">
        <f>IF(C6=0,0,(B6-C6)/C6)</f>
        <v/>
      </c>
    </row>
    <row r="7">
      <c r="A7" s="7" t="inlineStr">
        <is>
          <t>Margen bruto año 1</t>
        </is>
      </c>
      <c r="B7" s="21">
        <f>'P&amp;L 24 meses'!Z10</f>
        <v/>
      </c>
      <c r="C7" s="21" t="n">
        <v>116298350</v>
      </c>
      <c r="D7" s="20">
        <f>IF(C7=0,0,(B7-C7)/C7)</f>
        <v/>
      </c>
    </row>
    <row r="8">
      <c r="A8" s="7" t="inlineStr">
        <is>
          <t>Resultado operativo año 1</t>
        </is>
      </c>
      <c r="B8" s="21">
        <f>'P&amp;L 24 meses'!Z17</f>
        <v/>
      </c>
      <c r="C8" s="21" t="n">
        <v>77046915.00000003</v>
      </c>
      <c r="D8" s="20">
        <f>IF(C8=0,0,(B8-C8)/C8)</f>
        <v/>
      </c>
    </row>
    <row r="9">
      <c r="A9" s="7" t="inlineStr">
        <is>
          <t>Resultado neto año 1</t>
        </is>
      </c>
      <c r="B9" s="21">
        <f>'P&amp;L 24 meses'!Z20</f>
        <v/>
      </c>
      <c r="C9" s="21" t="n">
        <v>57785186.25000002</v>
      </c>
      <c r="D9" s="20">
        <f>IF(C9=0,0,(B9-C9)/C9)</f>
        <v/>
      </c>
    </row>
    <row r="10">
      <c r="A10" s="7" t="inlineStr">
        <is>
          <t>Resultado neto año 2</t>
        </is>
      </c>
      <c r="B10" s="21">
        <f>'P&amp;L 24 meses'!AA20</f>
        <v/>
      </c>
      <c r="C10" s="21" t="n">
        <v>76782450.00000003</v>
      </c>
      <c r="D10" s="20">
        <f>IF(C10=0,0,(B10-C10)/C10)</f>
        <v/>
      </c>
    </row>
    <row r="11">
      <c r="A11" s="7" t="inlineStr">
        <is>
          <t>Caja mínima</t>
        </is>
      </c>
      <c r="B11" s="21">
        <f>'Flujo de caja'!$B$18</f>
        <v/>
      </c>
      <c r="C11" s="21" t="n">
        <v>21018476</v>
      </c>
      <c r="D11" s="20">
        <f>IF(C11=0,0,(B11-C11)/C11)</f>
        <v/>
      </c>
    </row>
    <row r="12">
      <c r="A12" s="7" t="inlineStr">
        <is>
          <t>Caja al mes 24</t>
        </is>
      </c>
      <c r="B12" s="21">
        <f>'Flujo de caja'!$B$19</f>
        <v/>
      </c>
      <c r="C12" s="21" t="n">
        <v>150899186.25</v>
      </c>
      <c r="D12" s="20">
        <f>IF(C12=0,0,(B12-C12)/C12)</f>
        <v/>
      </c>
    </row>
    <row r="14">
      <c r="A14" s="7" t="inlineStr">
        <is>
          <t>Escenario activo</t>
        </is>
      </c>
      <c r="B14" s="7">
        <f>Supuestos!B4</f>
        <v/>
      </c>
      <c r="D14" s="7">
        <f>IF(Supuestos!B4="Base",IF(SUMPRODUCT(MAX(ABS(D5:D12)))&lt;0.005,"OK: coincide con el motor del PDF","REVISAR: diverge del motor"),"Cambiá a «Base» para contrastar contra el motor")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42" customWidth="1" min="4" max="4"/>
  </cols>
  <sheetData>
    <row r="1">
      <c r="A1" s="1" t="inlineStr">
        <is>
          <t>Dashboard — las cifras que miran los socios</t>
        </is>
      </c>
    </row>
    <row r="2">
      <c r="A2" s="6" t="inlineStr">
        <is>
          <t>Todo se mueve con el escenario elegido en Supuestos!B4 y con las series mensuales.</t>
        </is>
      </c>
    </row>
    <row r="4">
      <c r="A4" s="26" t="inlineStr">
        <is>
          <t>Escenario activo</t>
        </is>
      </c>
      <c r="B4" s="7">
        <f>Supuestos!B4</f>
        <v/>
      </c>
      <c r="D4" s="9" t="inlineStr">
        <is>
          <t>Cambiar en la hoja «Supuestos».</t>
        </is>
      </c>
    </row>
    <row r="5">
      <c r="A5" s="26" t="inlineStr">
        <is>
          <t>Obras del año 1</t>
        </is>
      </c>
      <c r="B5" s="23">
        <f>'P&amp;L 24 meses'!Z5</f>
        <v/>
      </c>
      <c r="D5" s="9" t="inlineStr">
        <is>
          <t>Suma de los primeros 12 meses.</t>
        </is>
      </c>
    </row>
    <row r="6">
      <c r="A6" s="26" t="inlineStr">
        <is>
          <t>Facturación del año 1</t>
        </is>
      </c>
      <c r="B6" s="18">
        <f>'P&amp;L 24 meses'!Z6</f>
        <v/>
      </c>
      <c r="D6" s="9" t="inlineStr"/>
    </row>
    <row r="7">
      <c r="A7" s="26" t="inlineStr">
        <is>
          <t>Margen bruto del año 1</t>
        </is>
      </c>
      <c r="B7" s="16">
        <f>'P&amp;L 24 meses'!Z11</f>
        <v/>
      </c>
      <c r="D7" s="9" t="inlineStr">
        <is>
          <t>Después de equipo, instalación y materiales.</t>
        </is>
      </c>
    </row>
    <row r="8">
      <c r="A8" s="26" t="inlineStr">
        <is>
          <t>Resultado neto del año 1</t>
        </is>
      </c>
      <c r="B8" s="18">
        <f>'P&amp;L 24 meses'!Z20</f>
        <v/>
      </c>
      <c r="D8" s="9" t="inlineStr"/>
    </row>
    <row r="9">
      <c r="A9" s="26" t="inlineStr">
        <is>
          <t>Resultado neto del año 1 (EUR)</t>
        </is>
      </c>
      <c r="B9" s="19">
        <f>'P&amp;L 24 meses'!Z21</f>
        <v/>
      </c>
      <c r="D9" s="9" t="inlineStr">
        <is>
          <t>Al TC de la hoja «Supuestos».</t>
        </is>
      </c>
    </row>
    <row r="10">
      <c r="A10" s="26" t="inlineStr">
        <is>
          <t>Resultado neto del año 2 (EUR)</t>
        </is>
      </c>
      <c r="B10" s="19">
        <f>'P&amp;L 24 meses'!AA21</f>
        <v/>
      </c>
      <c r="D10" s="9" t="inlineStr"/>
    </row>
    <row r="11">
      <c r="A11" s="26" t="inlineStr">
        <is>
          <t>Caja mínima del período</t>
        </is>
      </c>
      <c r="B11" s="18">
        <f>'Flujo de caja'!$B$18</f>
        <v/>
      </c>
      <c r="D11" s="9" t="inlineStr">
        <is>
          <t>Si es negativa, el capital no alcanza.</t>
        </is>
      </c>
    </row>
    <row r="12">
      <c r="A12" s="26" t="inlineStr">
        <is>
          <t>Caja al mes 24</t>
        </is>
      </c>
      <c r="B12" s="18">
        <f>'Flujo de caja'!$B$19</f>
        <v/>
      </c>
      <c r="D12" s="9" t="inlineStr"/>
    </row>
    <row r="13">
      <c r="A13" s="26" t="inlineStr">
        <is>
          <t>Recupero del aporte</t>
        </is>
      </c>
      <c r="B13" s="7">
        <f>'Flujo de caja'!$B$20</f>
        <v/>
      </c>
      <c r="D13" s="9" t="inlineStr">
        <is>
          <t>Primer mes con caja ≥ capital aportado.</t>
        </is>
      </c>
    </row>
    <row r="14">
      <c r="A14" s="26" t="inlineStr">
        <is>
          <t>Contribución por obra tipo</t>
        </is>
      </c>
      <c r="B14" s="18">
        <f>'Unit economics'!$J$9</f>
        <v/>
      </c>
      <c r="D14" s="9" t="inlineStr">
        <is>
          <t>Antes del CAC.</t>
        </is>
      </c>
    </row>
    <row r="15">
      <c r="A15" s="26" t="inlineStr">
        <is>
          <t>Break-even en temporada</t>
        </is>
      </c>
      <c r="B15" s="23">
        <f>'Break-even'!$D$7</f>
        <v/>
      </c>
      <c r="D15" s="9" t="inlineStr">
        <is>
          <t>Obras/mes con la pauta al máximo.</t>
        </is>
      </c>
    </row>
    <row r="16">
      <c r="A16" s="26" t="inlineStr">
        <is>
          <t>Break-even con técnico en planta</t>
        </is>
      </c>
      <c r="B16" s="23">
        <f>'Break-even'!$D$8</f>
        <v/>
      </c>
      <c r="D16" s="9" t="inlineStr">
        <is>
          <t>La razón para subcontratar.</t>
        </is>
      </c>
    </row>
    <row r="18">
      <c r="A18" s="7" t="inlineStr">
        <is>
          <t>Curva de caja y resultado operativo</t>
        </is>
      </c>
    </row>
    <row r="19">
      <c r="A19" s="7" t="inlineStr">
        <is>
          <t>Mes</t>
        </is>
      </c>
      <c r="B19" s="7" t="inlineStr">
        <is>
          <t>Saldo de caja</t>
        </is>
      </c>
      <c r="C19" s="7" t="inlineStr">
        <is>
          <t>Resultado operativo</t>
        </is>
      </c>
    </row>
    <row r="20">
      <c r="A20" s="9">
        <f>'Flujo de caja'!B4</f>
        <v/>
      </c>
      <c r="B20" s="21">
        <f>'Flujo de caja'!B16</f>
        <v/>
      </c>
      <c r="C20" s="21">
        <f>'P&amp;L 24 meses'!B17</f>
        <v/>
      </c>
    </row>
    <row r="21">
      <c r="A21" s="9">
        <f>'Flujo de caja'!C4</f>
        <v/>
      </c>
      <c r="B21" s="21">
        <f>'Flujo de caja'!C16</f>
        <v/>
      </c>
      <c r="C21" s="21">
        <f>'P&amp;L 24 meses'!C17</f>
        <v/>
      </c>
    </row>
    <row r="22">
      <c r="A22" s="9">
        <f>'Flujo de caja'!D4</f>
        <v/>
      </c>
      <c r="B22" s="21">
        <f>'Flujo de caja'!D16</f>
        <v/>
      </c>
      <c r="C22" s="21">
        <f>'P&amp;L 24 meses'!D17</f>
        <v/>
      </c>
    </row>
    <row r="23">
      <c r="A23" s="9">
        <f>'Flujo de caja'!E4</f>
        <v/>
      </c>
      <c r="B23" s="21">
        <f>'Flujo de caja'!E16</f>
        <v/>
      </c>
      <c r="C23" s="21">
        <f>'P&amp;L 24 meses'!E17</f>
        <v/>
      </c>
    </row>
    <row r="24">
      <c r="A24" s="9">
        <f>'Flujo de caja'!F4</f>
        <v/>
      </c>
      <c r="B24" s="21">
        <f>'Flujo de caja'!F16</f>
        <v/>
      </c>
      <c r="C24" s="21">
        <f>'P&amp;L 24 meses'!F17</f>
        <v/>
      </c>
    </row>
    <row r="25">
      <c r="A25" s="9">
        <f>'Flujo de caja'!G4</f>
        <v/>
      </c>
      <c r="B25" s="21">
        <f>'Flujo de caja'!G16</f>
        <v/>
      </c>
      <c r="C25" s="21">
        <f>'P&amp;L 24 meses'!G17</f>
        <v/>
      </c>
    </row>
    <row r="26">
      <c r="A26" s="9">
        <f>'Flujo de caja'!H4</f>
        <v/>
      </c>
      <c r="B26" s="21">
        <f>'Flujo de caja'!H16</f>
        <v/>
      </c>
      <c r="C26" s="21">
        <f>'P&amp;L 24 meses'!H17</f>
        <v/>
      </c>
    </row>
    <row r="27">
      <c r="A27" s="9">
        <f>'Flujo de caja'!I4</f>
        <v/>
      </c>
      <c r="B27" s="21">
        <f>'Flujo de caja'!I16</f>
        <v/>
      </c>
      <c r="C27" s="21">
        <f>'P&amp;L 24 meses'!I17</f>
        <v/>
      </c>
    </row>
    <row r="28">
      <c r="A28" s="9">
        <f>'Flujo de caja'!J4</f>
        <v/>
      </c>
      <c r="B28" s="21">
        <f>'Flujo de caja'!J16</f>
        <v/>
      </c>
      <c r="C28" s="21">
        <f>'P&amp;L 24 meses'!J17</f>
        <v/>
      </c>
    </row>
    <row r="29">
      <c r="A29" s="9">
        <f>'Flujo de caja'!K4</f>
        <v/>
      </c>
      <c r="B29" s="21">
        <f>'Flujo de caja'!K16</f>
        <v/>
      </c>
      <c r="C29" s="21">
        <f>'P&amp;L 24 meses'!K17</f>
        <v/>
      </c>
    </row>
    <row r="30">
      <c r="A30" s="9">
        <f>'Flujo de caja'!L4</f>
        <v/>
      </c>
      <c r="B30" s="21">
        <f>'Flujo de caja'!L16</f>
        <v/>
      </c>
      <c r="C30" s="21">
        <f>'P&amp;L 24 meses'!L17</f>
        <v/>
      </c>
    </row>
    <row r="31">
      <c r="A31" s="9">
        <f>'Flujo de caja'!M4</f>
        <v/>
      </c>
      <c r="B31" s="21">
        <f>'Flujo de caja'!M16</f>
        <v/>
      </c>
      <c r="C31" s="21">
        <f>'P&amp;L 24 meses'!M17</f>
        <v/>
      </c>
    </row>
    <row r="32">
      <c r="A32" s="9">
        <f>'Flujo de caja'!N4</f>
        <v/>
      </c>
      <c r="B32" s="21">
        <f>'Flujo de caja'!N16</f>
        <v/>
      </c>
      <c r="C32" s="21">
        <f>'P&amp;L 24 meses'!N17</f>
        <v/>
      </c>
    </row>
    <row r="33">
      <c r="A33" s="9">
        <f>'Flujo de caja'!O4</f>
        <v/>
      </c>
      <c r="B33" s="21">
        <f>'Flujo de caja'!O16</f>
        <v/>
      </c>
      <c r="C33" s="21">
        <f>'P&amp;L 24 meses'!O17</f>
        <v/>
      </c>
    </row>
    <row r="34">
      <c r="A34" s="9">
        <f>'Flujo de caja'!P4</f>
        <v/>
      </c>
      <c r="B34" s="21">
        <f>'Flujo de caja'!P16</f>
        <v/>
      </c>
      <c r="C34" s="21">
        <f>'P&amp;L 24 meses'!P17</f>
        <v/>
      </c>
    </row>
    <row r="35">
      <c r="A35" s="9">
        <f>'Flujo de caja'!Q4</f>
        <v/>
      </c>
      <c r="B35" s="21">
        <f>'Flujo de caja'!Q16</f>
        <v/>
      </c>
      <c r="C35" s="21">
        <f>'P&amp;L 24 meses'!Q17</f>
        <v/>
      </c>
    </row>
    <row r="36">
      <c r="A36" s="9">
        <f>'Flujo de caja'!R4</f>
        <v/>
      </c>
      <c r="B36" s="21">
        <f>'Flujo de caja'!R16</f>
        <v/>
      </c>
      <c r="C36" s="21">
        <f>'P&amp;L 24 meses'!R17</f>
        <v/>
      </c>
    </row>
    <row r="37">
      <c r="A37" s="9">
        <f>'Flujo de caja'!S4</f>
        <v/>
      </c>
      <c r="B37" s="21">
        <f>'Flujo de caja'!S16</f>
        <v/>
      </c>
      <c r="C37" s="21">
        <f>'P&amp;L 24 meses'!S17</f>
        <v/>
      </c>
    </row>
    <row r="38">
      <c r="A38" s="9">
        <f>'Flujo de caja'!T4</f>
        <v/>
      </c>
      <c r="B38" s="21">
        <f>'Flujo de caja'!T16</f>
        <v/>
      </c>
      <c r="C38" s="21">
        <f>'P&amp;L 24 meses'!T17</f>
        <v/>
      </c>
    </row>
    <row r="39">
      <c r="A39" s="9">
        <f>'Flujo de caja'!U4</f>
        <v/>
      </c>
      <c r="B39" s="21">
        <f>'Flujo de caja'!U16</f>
        <v/>
      </c>
      <c r="C39" s="21">
        <f>'P&amp;L 24 meses'!U17</f>
        <v/>
      </c>
    </row>
    <row r="40">
      <c r="A40" s="9">
        <f>'Flujo de caja'!V4</f>
        <v/>
      </c>
      <c r="B40" s="21">
        <f>'Flujo de caja'!V16</f>
        <v/>
      </c>
      <c r="C40" s="21">
        <f>'P&amp;L 24 meses'!V17</f>
        <v/>
      </c>
    </row>
    <row r="41">
      <c r="A41" s="9">
        <f>'Flujo de caja'!W4</f>
        <v/>
      </c>
      <c r="B41" s="21">
        <f>'Flujo de caja'!W16</f>
        <v/>
      </c>
      <c r="C41" s="21">
        <f>'P&amp;L 24 meses'!W17</f>
        <v/>
      </c>
    </row>
    <row r="42">
      <c r="A42" s="9">
        <f>'Flujo de caja'!X4</f>
        <v/>
      </c>
      <c r="B42" s="21">
        <f>'Flujo de caja'!X16</f>
        <v/>
      </c>
      <c r="C42" s="21">
        <f>'P&amp;L 24 meses'!X17</f>
        <v/>
      </c>
    </row>
    <row r="43">
      <c r="A43" s="9">
        <f>'Flujo de caja'!Y4</f>
        <v/>
      </c>
      <c r="B43" s="21">
        <f>'Flujo de caja'!Y16</f>
        <v/>
      </c>
      <c r="C43" s="21">
        <f>'P&amp;L 24 meses'!Y17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18" customWidth="1" min="4" max="4"/>
    <col width="40" customWidth="1" min="5" max="5"/>
  </cols>
  <sheetData>
    <row r="1">
      <c r="A1" s="1" t="inlineStr">
        <is>
          <t>Verificación — Excel contra el motor del PDF</t>
        </is>
      </c>
    </row>
    <row r="2">
      <c r="A2" s="6" t="inlineStr">
        <is>
          <t>Con los supuestos originales y el escenario en «Base», estas dos columnas coinciden al centavo: es la prueba de que la planilla y el PDF cuentan lo mismo. En cuanto se edita un supuesto la planilla se separa del PDF a propósito — ahí «HAY DIVERGENCIAS» significa «estás modelando algo distinto de lo publicado», no que haya un error.</t>
        </is>
      </c>
    </row>
    <row r="4">
      <c r="A4" s="13" t="inlineStr">
        <is>
          <t>Cifra de control</t>
        </is>
      </c>
      <c r="B4" s="13" t="inlineStr">
        <is>
          <t>Planilla</t>
        </is>
      </c>
      <c r="C4" s="13" t="inlineStr">
        <is>
          <t>Motor del PDF</t>
        </is>
      </c>
      <c r="D4" s="13" t="inlineStr">
        <is>
          <t>Desvío</t>
        </is>
      </c>
      <c r="E4" s="13" t="inlineStr">
        <is>
          <t>Estado</t>
        </is>
      </c>
    </row>
    <row r="5">
      <c r="A5" s="7" t="inlineStr">
        <is>
          <t>Obras año 1</t>
        </is>
      </c>
      <c r="B5" s="25">
        <f>'P&amp;L 24 meses'!Z5</f>
        <v/>
      </c>
      <c r="C5" s="25" t="n">
        <v>161</v>
      </c>
      <c r="D5" s="20">
        <f>IF(C5=0,0,(B5-C5)/C5)</f>
        <v/>
      </c>
      <c r="E5" s="7">
        <f>IF(ABS(D5)&lt;0.005,"OK","REVISAR")</f>
        <v/>
      </c>
    </row>
    <row r="6">
      <c r="A6" s="7" t="inlineStr">
        <is>
          <t>Facturación año 1</t>
        </is>
      </c>
      <c r="B6" s="21">
        <f>'P&amp;L 24 meses'!Z6</f>
        <v/>
      </c>
      <c r="C6" s="21" t="n">
        <v>410952500</v>
      </c>
      <c r="D6" s="20">
        <f>IF(C6=0,0,(B6-C6)/C6)</f>
        <v/>
      </c>
      <c r="E6" s="7">
        <f>IF(ABS(D6)&lt;0.005,"OK","REVISAR")</f>
        <v/>
      </c>
    </row>
    <row r="7">
      <c r="A7" s="7" t="inlineStr">
        <is>
          <t>Margen bruto año 1</t>
        </is>
      </c>
      <c r="B7" s="21">
        <f>'P&amp;L 24 meses'!Z10</f>
        <v/>
      </c>
      <c r="C7" s="21" t="n">
        <v>116298350</v>
      </c>
      <c r="D7" s="20">
        <f>IF(C7=0,0,(B7-C7)/C7)</f>
        <v/>
      </c>
      <c r="E7" s="7">
        <f>IF(ABS(D7)&lt;0.005,"OK","REVISAR")</f>
        <v/>
      </c>
    </row>
    <row r="8">
      <c r="A8" s="7" t="inlineStr">
        <is>
          <t>Resultado operativo año 1</t>
        </is>
      </c>
      <c r="B8" s="21">
        <f>'P&amp;L 24 meses'!Z17</f>
        <v/>
      </c>
      <c r="C8" s="21" t="n">
        <v>77046915.00000003</v>
      </c>
      <c r="D8" s="20">
        <f>IF(C8=0,0,(B8-C8)/C8)</f>
        <v/>
      </c>
      <c r="E8" s="7">
        <f>IF(ABS(D8)&lt;0.005,"OK","REVISAR")</f>
        <v/>
      </c>
    </row>
    <row r="9">
      <c r="A9" s="7" t="inlineStr">
        <is>
          <t>Resultado neto año 1</t>
        </is>
      </c>
      <c r="B9" s="21">
        <f>'P&amp;L 24 meses'!Z20</f>
        <v/>
      </c>
      <c r="C9" s="21" t="n">
        <v>57785186.25000002</v>
      </c>
      <c r="D9" s="20">
        <f>IF(C9=0,0,(B9-C9)/C9)</f>
        <v/>
      </c>
      <c r="E9" s="7">
        <f>IF(ABS(D9)&lt;0.005,"OK","REVISAR")</f>
        <v/>
      </c>
    </row>
    <row r="10">
      <c r="A10" s="7" t="inlineStr">
        <is>
          <t>Resultado neto año 2</t>
        </is>
      </c>
      <c r="B10" s="21">
        <f>'P&amp;L 24 meses'!AA20</f>
        <v/>
      </c>
      <c r="C10" s="21" t="n">
        <v>76782450.00000003</v>
      </c>
      <c r="D10" s="20">
        <f>IF(C10=0,0,(B10-C10)/C10)</f>
        <v/>
      </c>
      <c r="E10" s="7">
        <f>IF(ABS(D10)&lt;0.005,"OK","REVISAR")</f>
        <v/>
      </c>
    </row>
    <row r="11">
      <c r="A11" s="7" t="inlineStr">
        <is>
          <t>Caja mínima</t>
        </is>
      </c>
      <c r="B11" s="21">
        <f>'Flujo de caja'!$B$18</f>
        <v/>
      </c>
      <c r="C11" s="21" t="n">
        <v>21018476</v>
      </c>
      <c r="D11" s="20">
        <f>IF(C11=0,0,(B11-C11)/C11)</f>
        <v/>
      </c>
      <c r="E11" s="7">
        <f>IF(ABS(D11)&lt;0.005,"OK","REVISAR")</f>
        <v/>
      </c>
    </row>
    <row r="12">
      <c r="A12" s="7" t="inlineStr">
        <is>
          <t>Caja al mes 24</t>
        </is>
      </c>
      <c r="B12" s="21">
        <f>'Flujo de caja'!$B$19</f>
        <v/>
      </c>
      <c r="C12" s="21" t="n">
        <v>150899186.25</v>
      </c>
      <c r="D12" s="20">
        <f>IF(C12=0,0,(B12-C12)/C12)</f>
        <v/>
      </c>
      <c r="E12" s="7">
        <f>IF(ABS(D12)&lt;0.005,"OK","REVISAR")</f>
        <v/>
      </c>
    </row>
    <row r="13">
      <c r="A13" s="7" t="inlineStr">
        <is>
          <t>Contribución por obra tipo</t>
        </is>
      </c>
      <c r="B13" s="21">
        <f>'Unit economics'!$J$9</f>
        <v/>
      </c>
      <c r="C13" s="21" t="n">
        <v>584515.0000000001</v>
      </c>
      <c r="D13" s="20">
        <f>IF(C13=0,0,(B13-C13)/C13)</f>
        <v/>
      </c>
      <c r="E13" s="7">
        <f>IF(ABS(D13)&lt;0.005,"OK","REVISAR")</f>
        <v/>
      </c>
    </row>
    <row r="14">
      <c r="A14" s="7" t="inlineStr">
        <is>
          <t>Break-even en temporada (obras/mes)</t>
        </is>
      </c>
      <c r="B14" s="25">
        <f>'Break-even'!$D$7</f>
        <v/>
      </c>
      <c r="C14" s="25" t="n">
        <v>3.177139289092127</v>
      </c>
      <c r="D14" s="20">
        <f>IF(C14=0,0,(B14-C14)/C14)</f>
        <v/>
      </c>
      <c r="E14" s="7">
        <f>IF(ABS(D14)&lt;0.005,"OK","REVISAR")</f>
        <v/>
      </c>
    </row>
    <row r="16">
      <c r="A16" s="11" t="inlineStr">
        <is>
          <t>RESULTADO GLOBAL</t>
        </is>
      </c>
      <c r="B16" s="11">
        <f>IF(COUNTIF(E5:E14,"REVISAR")=0,"OK — planilla y PDF cuentan lo mismo","La planilla ya no refleja el PDF (esperable si editaste supuestos)")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2026-08-02T00:45:11Z</dcterms:created>
  <dcterms:modified xsi:type="dcterms:W3CDTF">2026-08-02T00:45:11Z</dcterms:modified>
</cp:coreProperties>
</file>